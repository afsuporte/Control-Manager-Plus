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60" windowWidth="18195" windowHeight="8505" activeTab="2"/>
  </bookViews>
  <sheets>
    <sheet name="INICIO" sheetId="7" r:id="rId1"/>
    <sheet name="CLASSE" sheetId="8" r:id="rId2"/>
    <sheet name="CRIAR TABELA" sheetId="9" r:id="rId3"/>
    <sheet name="ADICIONAR" sheetId="1" r:id="rId4"/>
    <sheet name="EDITAR" sheetId="12" r:id="rId5"/>
    <sheet name="DELETAR" sheetId="11" r:id="rId6"/>
    <sheet name="LISTAR" sheetId="10" r:id="rId7"/>
    <sheet name="AJUSTE" sheetId="5" r:id="rId8"/>
  </sheets>
  <definedNames>
    <definedName name="_xlnm._FilterDatabase" localSheetId="3" hidden="1">ADICIONAR!$K$5:$L$133</definedName>
    <definedName name="_xlnm._FilterDatabase" localSheetId="1" hidden="1">CLASSE!$H$1:$I$703</definedName>
    <definedName name="_xlnm._FilterDatabase" localSheetId="2" hidden="1">'CRIAR TABELA'!$F$1:$G$113</definedName>
    <definedName name="_xlnm._FilterDatabase" localSheetId="4" hidden="1">EDITAR!$I$1:$J$123</definedName>
    <definedName name="_xlnm._FilterDatabase" localSheetId="6" hidden="1">LISTAR!$K$1:$L$236</definedName>
  </definedNames>
  <calcPr calcId="145621"/>
</workbook>
</file>

<file path=xl/calcChain.xml><?xml version="1.0" encoding="utf-8"?>
<calcChain xmlns="http://schemas.openxmlformats.org/spreadsheetml/2006/main">
  <c r="B3" i="1" l="1"/>
  <c r="K130" i="1" l="1"/>
  <c r="K131" i="1"/>
  <c r="K132" i="1"/>
  <c r="K133" i="1"/>
  <c r="K5" i="1"/>
  <c r="K6" i="1"/>
  <c r="H703" i="8"/>
  <c r="H2" i="8"/>
  <c r="I6" i="12"/>
  <c r="F3" i="9" l="1"/>
  <c r="F4" i="9"/>
  <c r="F5" i="9"/>
  <c r="F6" i="9"/>
  <c r="F7" i="9"/>
  <c r="F8" i="9"/>
  <c r="F111" i="9"/>
  <c r="F112" i="9"/>
  <c r="F113" i="9"/>
  <c r="G2" i="9"/>
  <c r="F2" i="9" s="1"/>
  <c r="K9" i="1"/>
  <c r="K10" i="1"/>
  <c r="K11" i="1"/>
  <c r="K13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I108" i="12"/>
  <c r="J109" i="12"/>
  <c r="I109" i="12" s="1"/>
  <c r="J110" i="12"/>
  <c r="I110" i="12" s="1"/>
  <c r="J111" i="12"/>
  <c r="I111" i="12" s="1"/>
  <c r="J112" i="12"/>
  <c r="I112" i="12" s="1"/>
  <c r="J113" i="12"/>
  <c r="I113" i="12" s="1"/>
  <c r="J114" i="12"/>
  <c r="I114" i="12" s="1"/>
  <c r="J115" i="12"/>
  <c r="I115" i="12" s="1"/>
  <c r="J116" i="12"/>
  <c r="I116" i="12" s="1"/>
  <c r="J117" i="12"/>
  <c r="I117" i="12" s="1"/>
  <c r="J118" i="12"/>
  <c r="I118" i="12" s="1"/>
  <c r="J119" i="12"/>
  <c r="I119" i="12" s="1"/>
  <c r="J120" i="12"/>
  <c r="I120" i="12" s="1"/>
  <c r="J121" i="12"/>
  <c r="I121" i="12" s="1"/>
  <c r="J122" i="12"/>
  <c r="I122" i="12" s="1"/>
  <c r="J123" i="12"/>
  <c r="I123" i="12" s="1"/>
  <c r="J3" i="12"/>
  <c r="I3" i="12" s="1"/>
  <c r="J4" i="12"/>
  <c r="I4" i="12" s="1"/>
  <c r="J5" i="12"/>
  <c r="I5" i="12" s="1"/>
  <c r="D2" i="12"/>
  <c r="C8" i="12" s="1"/>
  <c r="F7" i="1"/>
  <c r="C2" i="12"/>
  <c r="E7" i="1"/>
  <c r="J2" i="12" l="1"/>
  <c r="I2" i="12" s="1"/>
  <c r="F16" i="1"/>
  <c r="L8" i="1"/>
  <c r="K8" i="1" s="1"/>
  <c r="F15" i="1"/>
  <c r="F17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4" i="1"/>
  <c r="L7" i="1"/>
  <c r="K7" i="1" s="1"/>
  <c r="C2" i="10"/>
  <c r="L234" i="10"/>
  <c r="K234" i="10" s="1"/>
  <c r="L235" i="10"/>
  <c r="K235" i="10" s="1"/>
  <c r="L236" i="10"/>
  <c r="K236" i="10" s="1"/>
  <c r="L2" i="10"/>
  <c r="K2" i="10" s="1"/>
  <c r="L3" i="10"/>
  <c r="K3" i="10" s="1"/>
  <c r="H6" i="11"/>
  <c r="H3" i="11"/>
  <c r="H4" i="11"/>
  <c r="H5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B8" i="11"/>
  <c r="L223" i="10"/>
  <c r="K223" i="10" s="1"/>
  <c r="L227" i="10"/>
  <c r="K227" i="10" s="1"/>
  <c r="L225" i="10"/>
  <c r="K225" i="10" s="1"/>
  <c r="L20" i="10"/>
  <c r="K20" i="10" s="1"/>
  <c r="L16" i="10"/>
  <c r="K16" i="10" s="1"/>
  <c r="L17" i="10"/>
  <c r="K17" i="10" s="1"/>
  <c r="L18" i="10"/>
  <c r="K18" i="10" s="1"/>
  <c r="L71" i="1"/>
  <c r="K71" i="1" s="1"/>
  <c r="L72" i="1"/>
  <c r="K72" i="1" s="1"/>
  <c r="L73" i="1"/>
  <c r="K73" i="1" s="1"/>
  <c r="L74" i="1"/>
  <c r="K74" i="1" s="1"/>
  <c r="L75" i="1"/>
  <c r="K75" i="1" s="1"/>
  <c r="L76" i="1"/>
  <c r="K76" i="1" s="1"/>
  <c r="L77" i="1"/>
  <c r="K77" i="1" s="1"/>
  <c r="L78" i="1"/>
  <c r="K78" i="1" s="1"/>
  <c r="L79" i="1"/>
  <c r="K79" i="1" s="1"/>
  <c r="L80" i="1"/>
  <c r="K80" i="1" s="1"/>
  <c r="L81" i="1"/>
  <c r="K81" i="1" s="1"/>
  <c r="L82" i="1"/>
  <c r="K82" i="1" s="1"/>
  <c r="L83" i="1"/>
  <c r="K83" i="1" s="1"/>
  <c r="L84" i="1"/>
  <c r="K84" i="1" s="1"/>
  <c r="L85" i="1"/>
  <c r="K85" i="1" s="1"/>
  <c r="L86" i="1"/>
  <c r="K86" i="1" s="1"/>
  <c r="L87" i="1"/>
  <c r="K87" i="1" s="1"/>
  <c r="L88" i="1"/>
  <c r="K88" i="1" s="1"/>
  <c r="L89" i="1"/>
  <c r="K89" i="1" s="1"/>
  <c r="L90" i="1"/>
  <c r="K90" i="1" s="1"/>
  <c r="L91" i="1"/>
  <c r="K91" i="1" s="1"/>
  <c r="L92" i="1"/>
  <c r="K92" i="1" s="1"/>
  <c r="L93" i="1"/>
  <c r="K93" i="1" s="1"/>
  <c r="L94" i="1"/>
  <c r="K94" i="1" s="1"/>
  <c r="L95" i="1"/>
  <c r="K95" i="1" s="1"/>
  <c r="L96" i="1"/>
  <c r="K96" i="1" s="1"/>
  <c r="L97" i="1"/>
  <c r="K97" i="1" s="1"/>
  <c r="L98" i="1"/>
  <c r="K98" i="1" s="1"/>
  <c r="L99" i="1"/>
  <c r="K99" i="1" s="1"/>
  <c r="L100" i="1"/>
  <c r="K100" i="1" s="1"/>
  <c r="L101" i="1"/>
  <c r="K101" i="1" s="1"/>
  <c r="L102" i="1"/>
  <c r="K102" i="1" s="1"/>
  <c r="L103" i="1"/>
  <c r="K103" i="1" s="1"/>
  <c r="L104" i="1"/>
  <c r="K104" i="1" s="1"/>
  <c r="L105" i="1"/>
  <c r="K105" i="1" s="1"/>
  <c r="L106" i="1"/>
  <c r="K106" i="1" s="1"/>
  <c r="L107" i="1"/>
  <c r="K107" i="1" s="1"/>
  <c r="L108" i="1"/>
  <c r="K108" i="1" s="1"/>
  <c r="L109" i="1"/>
  <c r="K109" i="1" s="1"/>
  <c r="L110" i="1"/>
  <c r="K110" i="1" s="1"/>
  <c r="L111" i="1"/>
  <c r="K111" i="1" s="1"/>
  <c r="L112" i="1"/>
  <c r="K112" i="1" s="1"/>
  <c r="A174" i="10"/>
  <c r="E174" i="10" s="1"/>
  <c r="A176" i="10"/>
  <c r="E176" i="10" s="1"/>
  <c r="A178" i="10"/>
  <c r="E178" i="10" s="1"/>
  <c r="A180" i="10"/>
  <c r="E180" i="10" s="1"/>
  <c r="A182" i="10"/>
  <c r="E182" i="10" s="1"/>
  <c r="A184" i="10"/>
  <c r="E184" i="10" s="1"/>
  <c r="A186" i="10"/>
  <c r="E186" i="10" s="1"/>
  <c r="A188" i="10"/>
  <c r="E188" i="10" s="1"/>
  <c r="A190" i="10"/>
  <c r="E190" i="10" s="1"/>
  <c r="A192" i="10"/>
  <c r="E192" i="10" s="1"/>
  <c r="A194" i="10"/>
  <c r="E194" i="10" s="1"/>
  <c r="A196" i="10"/>
  <c r="E196" i="10" s="1"/>
  <c r="A198" i="10"/>
  <c r="E198" i="10" s="1"/>
  <c r="A200" i="10"/>
  <c r="E200" i="10" s="1"/>
  <c r="A202" i="10"/>
  <c r="E202" i="10" s="1"/>
  <c r="A204" i="10"/>
  <c r="E204" i="10" s="1"/>
  <c r="A206" i="10"/>
  <c r="E206" i="10" s="1"/>
  <c r="A208" i="10"/>
  <c r="E208" i="10" s="1"/>
  <c r="A210" i="10"/>
  <c r="E210" i="10" s="1"/>
  <c r="A212" i="10"/>
  <c r="E212" i="10" s="1"/>
  <c r="A214" i="10"/>
  <c r="E214" i="10" s="1"/>
  <c r="A216" i="10"/>
  <c r="E216" i="10" s="1"/>
  <c r="A218" i="10"/>
  <c r="E218" i="10" s="1"/>
  <c r="A220" i="10"/>
  <c r="E220" i="10" s="1"/>
  <c r="A222" i="10"/>
  <c r="E222" i="10" s="1"/>
  <c r="A118" i="10"/>
  <c r="E118" i="10" s="1"/>
  <c r="A120" i="10"/>
  <c r="E120" i="10" s="1"/>
  <c r="A122" i="10"/>
  <c r="E122" i="10" s="1"/>
  <c r="A124" i="10"/>
  <c r="E124" i="10" s="1"/>
  <c r="A126" i="10"/>
  <c r="E126" i="10" s="1"/>
  <c r="A128" i="10"/>
  <c r="E128" i="10" s="1"/>
  <c r="A130" i="10"/>
  <c r="E130" i="10" s="1"/>
  <c r="A132" i="10"/>
  <c r="E132" i="10" s="1"/>
  <c r="A134" i="10"/>
  <c r="E134" i="10" s="1"/>
  <c r="A136" i="10"/>
  <c r="E136" i="10" s="1"/>
  <c r="A138" i="10"/>
  <c r="E138" i="10" s="1"/>
  <c r="A140" i="10"/>
  <c r="E140" i="10" s="1"/>
  <c r="A142" i="10"/>
  <c r="E142" i="10" s="1"/>
  <c r="A144" i="10"/>
  <c r="E144" i="10" s="1"/>
  <c r="A146" i="10"/>
  <c r="E146" i="10" s="1"/>
  <c r="A148" i="10"/>
  <c r="E148" i="10" s="1"/>
  <c r="A150" i="10"/>
  <c r="E150" i="10" s="1"/>
  <c r="A152" i="10"/>
  <c r="E152" i="10" s="1"/>
  <c r="A154" i="10"/>
  <c r="E154" i="10" s="1"/>
  <c r="A156" i="10"/>
  <c r="E156" i="10" s="1"/>
  <c r="A158" i="10"/>
  <c r="E158" i="10" s="1"/>
  <c r="A160" i="10"/>
  <c r="E160" i="10" s="1"/>
  <c r="A162" i="10"/>
  <c r="E162" i="10" s="1"/>
  <c r="A164" i="10"/>
  <c r="E164" i="10" s="1"/>
  <c r="A166" i="10"/>
  <c r="E166" i="10" s="1"/>
  <c r="A168" i="10"/>
  <c r="E168" i="10" s="1"/>
  <c r="A170" i="10"/>
  <c r="E170" i="10" s="1"/>
  <c r="A172" i="10"/>
  <c r="E172" i="10" s="1"/>
  <c r="A22" i="10"/>
  <c r="E22" i="10" s="1"/>
  <c r="A24" i="10"/>
  <c r="E24" i="10" s="1"/>
  <c r="A26" i="10"/>
  <c r="E26" i="10" s="1"/>
  <c r="A28" i="10"/>
  <c r="E28" i="10" s="1"/>
  <c r="A30" i="10"/>
  <c r="E30" i="10" s="1"/>
  <c r="A32" i="10"/>
  <c r="E32" i="10" s="1"/>
  <c r="A34" i="10"/>
  <c r="E34" i="10" s="1"/>
  <c r="A36" i="10"/>
  <c r="E36" i="10" s="1"/>
  <c r="A38" i="10"/>
  <c r="E38" i="10" s="1"/>
  <c r="A40" i="10"/>
  <c r="E40" i="10" s="1"/>
  <c r="A42" i="10"/>
  <c r="E42" i="10" s="1"/>
  <c r="A44" i="10"/>
  <c r="E44" i="10" s="1"/>
  <c r="A46" i="10"/>
  <c r="E46" i="10" s="1"/>
  <c r="A48" i="10"/>
  <c r="E48" i="10" s="1"/>
  <c r="A50" i="10"/>
  <c r="E50" i="10" s="1"/>
  <c r="A52" i="10"/>
  <c r="E52" i="10" s="1"/>
  <c r="A54" i="10"/>
  <c r="E54" i="10" s="1"/>
  <c r="A56" i="10"/>
  <c r="E56" i="10" s="1"/>
  <c r="A58" i="10"/>
  <c r="E58" i="10" s="1"/>
  <c r="A60" i="10"/>
  <c r="E60" i="10" s="1"/>
  <c r="A62" i="10"/>
  <c r="E62" i="10" s="1"/>
  <c r="A64" i="10"/>
  <c r="E64" i="10" s="1"/>
  <c r="A66" i="10"/>
  <c r="E66" i="10" s="1"/>
  <c r="A68" i="10"/>
  <c r="E68" i="10" s="1"/>
  <c r="A70" i="10"/>
  <c r="E70" i="10" s="1"/>
  <c r="A72" i="10"/>
  <c r="E72" i="10" s="1"/>
  <c r="A74" i="10"/>
  <c r="E74" i="10" s="1"/>
  <c r="A76" i="10"/>
  <c r="E76" i="10" s="1"/>
  <c r="A78" i="10"/>
  <c r="E78" i="10" s="1"/>
  <c r="A80" i="10"/>
  <c r="E80" i="10" s="1"/>
  <c r="A82" i="10"/>
  <c r="E82" i="10" s="1"/>
  <c r="A84" i="10"/>
  <c r="E84" i="10" s="1"/>
  <c r="A86" i="10"/>
  <c r="E86" i="10" s="1"/>
  <c r="A88" i="10"/>
  <c r="E88" i="10" s="1"/>
  <c r="A90" i="10"/>
  <c r="E90" i="10" s="1"/>
  <c r="A92" i="10"/>
  <c r="E92" i="10" s="1"/>
  <c r="A94" i="10"/>
  <c r="E94" i="10" s="1"/>
  <c r="A96" i="10"/>
  <c r="E96" i="10" s="1"/>
  <c r="A98" i="10"/>
  <c r="E98" i="10" s="1"/>
  <c r="A100" i="10"/>
  <c r="E100" i="10" s="1"/>
  <c r="A102" i="10"/>
  <c r="E102" i="10" s="1"/>
  <c r="A104" i="10"/>
  <c r="E104" i="10" s="1"/>
  <c r="A106" i="10"/>
  <c r="E106" i="10" s="1"/>
  <c r="A108" i="10"/>
  <c r="E108" i="10" s="1"/>
  <c r="A110" i="10"/>
  <c r="E110" i="10" s="1"/>
  <c r="A112" i="10"/>
  <c r="E112" i="10" s="1"/>
  <c r="A114" i="10"/>
  <c r="E114" i="10" s="1"/>
  <c r="A116" i="10"/>
  <c r="E116" i="10" s="1"/>
  <c r="L228" i="10"/>
  <c r="K228" i="10" s="1"/>
  <c r="L229" i="10"/>
  <c r="K229" i="10" s="1"/>
  <c r="L230" i="10"/>
  <c r="K230" i="10" s="1"/>
  <c r="L231" i="10"/>
  <c r="K231" i="10" s="1"/>
  <c r="L232" i="10"/>
  <c r="K232" i="10" s="1"/>
  <c r="L233" i="10"/>
  <c r="K233" i="10" s="1"/>
  <c r="D14" i="10"/>
  <c r="B224" i="10" s="1"/>
  <c r="C14" i="10"/>
  <c r="F14" i="10"/>
  <c r="L4" i="10"/>
  <c r="K4" i="10" s="1"/>
  <c r="L5" i="10"/>
  <c r="K5" i="10" s="1"/>
  <c r="L6" i="10"/>
  <c r="K6" i="10" s="1"/>
  <c r="L7" i="10"/>
  <c r="K7" i="10" s="1"/>
  <c r="L8" i="10"/>
  <c r="K8" i="10" s="1"/>
  <c r="L9" i="10"/>
  <c r="K9" i="10" s="1"/>
  <c r="L10" i="10"/>
  <c r="K10" i="10" s="1"/>
  <c r="L11" i="10"/>
  <c r="K11" i="10" s="1"/>
  <c r="L12" i="10"/>
  <c r="K12" i="10" s="1"/>
  <c r="L13" i="10"/>
  <c r="K13" i="10" s="1"/>
  <c r="B19" i="10"/>
  <c r="E19" i="10" s="1"/>
  <c r="C15" i="10"/>
  <c r="L15" i="10" s="1"/>
  <c r="K15" i="10" s="1"/>
  <c r="B15" i="8"/>
  <c r="B22" i="8"/>
  <c r="B29" i="8"/>
  <c r="B36" i="8"/>
  <c r="B43" i="8"/>
  <c r="B50" i="8"/>
  <c r="B57" i="8"/>
  <c r="B64" i="8"/>
  <c r="B71" i="8"/>
  <c r="B78" i="8"/>
  <c r="B85" i="8"/>
  <c r="B92" i="8"/>
  <c r="B99" i="8"/>
  <c r="B106" i="8"/>
  <c r="B113" i="8"/>
  <c r="B120" i="8"/>
  <c r="B127" i="8"/>
  <c r="B134" i="8"/>
  <c r="B141" i="8"/>
  <c r="B148" i="8"/>
  <c r="B155" i="8"/>
  <c r="B162" i="8"/>
  <c r="B169" i="8"/>
  <c r="B176" i="8"/>
  <c r="B183" i="8"/>
  <c r="B190" i="8"/>
  <c r="B197" i="8"/>
  <c r="B204" i="8"/>
  <c r="B211" i="8"/>
  <c r="B218" i="8"/>
  <c r="B225" i="8"/>
  <c r="B232" i="8"/>
  <c r="B239" i="8"/>
  <c r="B246" i="8"/>
  <c r="B253" i="8"/>
  <c r="B260" i="8"/>
  <c r="B267" i="8"/>
  <c r="B274" i="8"/>
  <c r="B281" i="8"/>
  <c r="B288" i="8"/>
  <c r="B295" i="8"/>
  <c r="B302" i="8"/>
  <c r="B309" i="8"/>
  <c r="B316" i="8"/>
  <c r="B323" i="8"/>
  <c r="B330" i="8"/>
  <c r="B337" i="8"/>
  <c r="B344" i="8"/>
  <c r="B351" i="8"/>
  <c r="B358" i="8"/>
  <c r="B365" i="8"/>
  <c r="B372" i="8"/>
  <c r="B379" i="8"/>
  <c r="B386" i="8"/>
  <c r="B393" i="8"/>
  <c r="B400" i="8"/>
  <c r="B407" i="8"/>
  <c r="B414" i="8"/>
  <c r="B421" i="8"/>
  <c r="B428" i="8"/>
  <c r="B435" i="8"/>
  <c r="B442" i="8"/>
  <c r="B449" i="8"/>
  <c r="B456" i="8"/>
  <c r="B463" i="8"/>
  <c r="B470" i="8"/>
  <c r="B477" i="8"/>
  <c r="B484" i="8"/>
  <c r="B491" i="8"/>
  <c r="B498" i="8"/>
  <c r="B505" i="8"/>
  <c r="B512" i="8"/>
  <c r="B519" i="8"/>
  <c r="B526" i="8"/>
  <c r="B533" i="8"/>
  <c r="B540" i="8"/>
  <c r="B547" i="8"/>
  <c r="B554" i="8"/>
  <c r="B561" i="8"/>
  <c r="B568" i="8"/>
  <c r="B575" i="8"/>
  <c r="B582" i="8"/>
  <c r="B589" i="8"/>
  <c r="B596" i="8"/>
  <c r="B603" i="8"/>
  <c r="B610" i="8"/>
  <c r="B617" i="8"/>
  <c r="B624" i="8"/>
  <c r="B631" i="8"/>
  <c r="B638" i="8"/>
  <c r="B645" i="8"/>
  <c r="B652" i="8"/>
  <c r="B659" i="8"/>
  <c r="B666" i="8"/>
  <c r="B673" i="8"/>
  <c r="B680" i="8"/>
  <c r="B687" i="8"/>
  <c r="B694" i="8"/>
  <c r="B701" i="8"/>
  <c r="B8" i="8"/>
  <c r="L14" i="10" l="1"/>
  <c r="K14" i="10" s="1"/>
  <c r="F18" i="1"/>
  <c r="I605" i="8"/>
  <c r="H605" i="8" s="1"/>
  <c r="I591" i="8"/>
  <c r="H591" i="8" s="1"/>
  <c r="I577" i="8"/>
  <c r="H577" i="8" s="1"/>
  <c r="I563" i="8"/>
  <c r="H563" i="8" s="1"/>
  <c r="I549" i="8"/>
  <c r="H549" i="8" s="1"/>
  <c r="I535" i="8"/>
  <c r="H535" i="8" s="1"/>
  <c r="I521" i="8"/>
  <c r="H521" i="8" s="1"/>
  <c r="I507" i="8"/>
  <c r="H507" i="8" s="1"/>
  <c r="I493" i="8"/>
  <c r="H493" i="8" s="1"/>
  <c r="I479" i="8"/>
  <c r="H479" i="8" s="1"/>
  <c r="I465" i="8"/>
  <c r="H465" i="8" s="1"/>
  <c r="I451" i="8"/>
  <c r="H451" i="8" s="1"/>
  <c r="I437" i="8"/>
  <c r="H437" i="8" s="1"/>
  <c r="I423" i="8"/>
  <c r="H423" i="8" s="1"/>
  <c r="I409" i="8"/>
  <c r="H409" i="8" s="1"/>
  <c r="I395" i="8"/>
  <c r="H395" i="8" s="1"/>
  <c r="I381" i="8"/>
  <c r="H381" i="8" s="1"/>
  <c r="I367" i="8"/>
  <c r="H367" i="8" s="1"/>
  <c r="I353" i="8"/>
  <c r="H353" i="8" s="1"/>
  <c r="I339" i="8"/>
  <c r="H339" i="8" s="1"/>
  <c r="I325" i="8"/>
  <c r="H325" i="8" s="1"/>
  <c r="I311" i="8"/>
  <c r="H311" i="8" s="1"/>
  <c r="I297" i="8"/>
  <c r="H297" i="8" s="1"/>
  <c r="I283" i="8"/>
  <c r="H283" i="8" s="1"/>
  <c r="I269" i="8"/>
  <c r="H269" i="8" s="1"/>
  <c r="I255" i="8"/>
  <c r="H255" i="8" s="1"/>
  <c r="I241" i="8"/>
  <c r="H241" i="8" s="1"/>
  <c r="I227" i="8"/>
  <c r="H227" i="8" s="1"/>
  <c r="I213" i="8"/>
  <c r="H213" i="8" s="1"/>
  <c r="I199" i="8"/>
  <c r="H199" i="8" s="1"/>
  <c r="I185" i="8"/>
  <c r="H185" i="8" s="1"/>
  <c r="I171" i="8"/>
  <c r="H171" i="8" s="1"/>
  <c r="I157" i="8"/>
  <c r="H157" i="8" s="1"/>
  <c r="I143" i="8"/>
  <c r="H143" i="8" s="1"/>
  <c r="I129" i="8"/>
  <c r="H129" i="8" s="1"/>
  <c r="I115" i="8"/>
  <c r="H115" i="8" s="1"/>
  <c r="I101" i="8"/>
  <c r="H101" i="8" s="1"/>
  <c r="I87" i="8"/>
  <c r="H87" i="8" s="1"/>
  <c r="I73" i="8"/>
  <c r="H73" i="8" s="1"/>
  <c r="I59" i="8"/>
  <c r="H59" i="8" s="1"/>
  <c r="I45" i="8"/>
  <c r="H45" i="8" s="1"/>
  <c r="I31" i="8"/>
  <c r="H31" i="8" s="1"/>
  <c r="I17" i="8"/>
  <c r="H17" i="8" s="1"/>
  <c r="I3" i="8"/>
  <c r="H3" i="8" s="1"/>
  <c r="I689" i="8"/>
  <c r="H689" i="8" s="1"/>
  <c r="I675" i="8"/>
  <c r="H675" i="8" s="1"/>
  <c r="I661" i="8"/>
  <c r="H661" i="8" s="1"/>
  <c r="I647" i="8"/>
  <c r="H647" i="8" s="1"/>
  <c r="I633" i="8"/>
  <c r="H633" i="8" s="1"/>
  <c r="I619" i="8"/>
  <c r="H619" i="8" s="1"/>
  <c r="I598" i="8"/>
  <c r="H598" i="8" s="1"/>
  <c r="I584" i="8"/>
  <c r="H584" i="8" s="1"/>
  <c r="I570" i="8"/>
  <c r="H570" i="8" s="1"/>
  <c r="I556" i="8"/>
  <c r="H556" i="8" s="1"/>
  <c r="I542" i="8"/>
  <c r="H542" i="8" s="1"/>
  <c r="I528" i="8"/>
  <c r="H528" i="8" s="1"/>
  <c r="I514" i="8"/>
  <c r="H514" i="8" s="1"/>
  <c r="I500" i="8"/>
  <c r="H500" i="8" s="1"/>
  <c r="I486" i="8"/>
  <c r="H486" i="8" s="1"/>
  <c r="I472" i="8"/>
  <c r="H472" i="8" s="1"/>
  <c r="I458" i="8"/>
  <c r="H458" i="8" s="1"/>
  <c r="I444" i="8"/>
  <c r="H444" i="8" s="1"/>
  <c r="I430" i="8"/>
  <c r="H430" i="8" s="1"/>
  <c r="I416" i="8"/>
  <c r="H416" i="8" s="1"/>
  <c r="I402" i="8"/>
  <c r="H402" i="8" s="1"/>
  <c r="I388" i="8"/>
  <c r="H388" i="8" s="1"/>
  <c r="I374" i="8"/>
  <c r="H374" i="8" s="1"/>
  <c r="I360" i="8"/>
  <c r="H360" i="8" s="1"/>
  <c r="I346" i="8"/>
  <c r="H346" i="8" s="1"/>
  <c r="I332" i="8"/>
  <c r="H332" i="8" s="1"/>
  <c r="I318" i="8"/>
  <c r="H318" i="8" s="1"/>
  <c r="I304" i="8"/>
  <c r="H304" i="8" s="1"/>
  <c r="I290" i="8"/>
  <c r="H290" i="8" s="1"/>
  <c r="I276" i="8"/>
  <c r="H276" i="8" s="1"/>
  <c r="I262" i="8"/>
  <c r="H262" i="8" s="1"/>
  <c r="I248" i="8"/>
  <c r="H248" i="8" s="1"/>
  <c r="I234" i="8"/>
  <c r="H234" i="8" s="1"/>
  <c r="I220" i="8"/>
  <c r="H220" i="8" s="1"/>
  <c r="I206" i="8"/>
  <c r="H206" i="8" s="1"/>
  <c r="I192" i="8"/>
  <c r="H192" i="8" s="1"/>
  <c r="I178" i="8"/>
  <c r="H178" i="8" s="1"/>
  <c r="I164" i="8"/>
  <c r="H164" i="8" s="1"/>
  <c r="I150" i="8"/>
  <c r="H150" i="8" s="1"/>
  <c r="I136" i="8"/>
  <c r="H136" i="8" s="1"/>
  <c r="I122" i="8"/>
  <c r="H122" i="8" s="1"/>
  <c r="I108" i="8"/>
  <c r="H108" i="8" s="1"/>
  <c r="I94" i="8"/>
  <c r="H94" i="8" s="1"/>
  <c r="I80" i="8"/>
  <c r="H80" i="8" s="1"/>
  <c r="I66" i="8"/>
  <c r="H66" i="8" s="1"/>
  <c r="I52" i="8"/>
  <c r="H52" i="8" s="1"/>
  <c r="I38" i="8"/>
  <c r="H38" i="8" s="1"/>
  <c r="I24" i="8"/>
  <c r="H24" i="8" s="1"/>
  <c r="I10" i="8"/>
  <c r="H10" i="8" s="1"/>
  <c r="I696" i="8"/>
  <c r="H696" i="8" s="1"/>
  <c r="I682" i="8"/>
  <c r="H682" i="8" s="1"/>
  <c r="I668" i="8"/>
  <c r="H668" i="8" s="1"/>
  <c r="I654" i="8"/>
  <c r="H654" i="8" s="1"/>
  <c r="I640" i="8"/>
  <c r="H640" i="8" s="1"/>
  <c r="I626" i="8"/>
  <c r="H626" i="8" s="1"/>
  <c r="I612" i="8"/>
  <c r="H612" i="8" s="1"/>
  <c r="C226" i="10"/>
  <c r="L226" i="10" s="1"/>
  <c r="K226" i="10" s="1"/>
  <c r="C19" i="10"/>
  <c r="L19" i="10" s="1"/>
  <c r="K19" i="10" s="1"/>
  <c r="C9" i="9"/>
  <c r="G9" i="9" s="1"/>
  <c r="F9" i="9" s="1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P106" i="7"/>
  <c r="P107" i="7"/>
  <c r="P108" i="7"/>
  <c r="P109" i="7"/>
  <c r="O10" i="7"/>
  <c r="P11" i="7"/>
  <c r="Q11" i="7"/>
  <c r="R11" i="7"/>
  <c r="P12" i="7"/>
  <c r="Q12" i="7"/>
  <c r="R12" i="7"/>
  <c r="P13" i="7"/>
  <c r="Q13" i="7"/>
  <c r="R13" i="7"/>
  <c r="P14" i="7"/>
  <c r="Q14" i="7"/>
  <c r="R14" i="7"/>
  <c r="P15" i="7"/>
  <c r="Q15" i="7"/>
  <c r="R15" i="7"/>
  <c r="P16" i="7"/>
  <c r="Q16" i="7"/>
  <c r="R16" i="7"/>
  <c r="P17" i="7"/>
  <c r="Q17" i="7"/>
  <c r="R17" i="7"/>
  <c r="P18" i="7"/>
  <c r="Q18" i="7"/>
  <c r="R18" i="7"/>
  <c r="P19" i="7"/>
  <c r="Q19" i="7"/>
  <c r="R19" i="7"/>
  <c r="P20" i="7"/>
  <c r="Q20" i="7"/>
  <c r="R20" i="7"/>
  <c r="P21" i="7"/>
  <c r="Q21" i="7"/>
  <c r="R21" i="7"/>
  <c r="P22" i="7"/>
  <c r="Q22" i="7"/>
  <c r="R22" i="7"/>
  <c r="P23" i="7"/>
  <c r="Q23" i="7"/>
  <c r="R23" i="7"/>
  <c r="P24" i="7"/>
  <c r="Q24" i="7"/>
  <c r="R24" i="7"/>
  <c r="P25" i="7"/>
  <c r="Q25" i="7"/>
  <c r="R25" i="7"/>
  <c r="P26" i="7"/>
  <c r="Q26" i="7"/>
  <c r="R26" i="7"/>
  <c r="P27" i="7"/>
  <c r="Q27" i="7"/>
  <c r="R27" i="7"/>
  <c r="P28" i="7"/>
  <c r="Q28" i="7"/>
  <c r="R28" i="7"/>
  <c r="P29" i="7"/>
  <c r="Q29" i="7"/>
  <c r="R29" i="7"/>
  <c r="P30" i="7"/>
  <c r="Q30" i="7"/>
  <c r="R30" i="7"/>
  <c r="P31" i="7"/>
  <c r="Q31" i="7"/>
  <c r="R31" i="7"/>
  <c r="P32" i="7"/>
  <c r="Q32" i="7"/>
  <c r="R32" i="7"/>
  <c r="P33" i="7"/>
  <c r="Q33" i="7"/>
  <c r="R33" i="7"/>
  <c r="P34" i="7"/>
  <c r="Q34" i="7"/>
  <c r="R34" i="7"/>
  <c r="P35" i="7"/>
  <c r="Q35" i="7"/>
  <c r="R35" i="7"/>
  <c r="P36" i="7"/>
  <c r="Q36" i="7"/>
  <c r="R36" i="7"/>
  <c r="P37" i="7"/>
  <c r="Q37" i="7"/>
  <c r="R37" i="7"/>
  <c r="P38" i="7"/>
  <c r="Q38" i="7"/>
  <c r="R38" i="7"/>
  <c r="P39" i="7"/>
  <c r="Q39" i="7"/>
  <c r="R39" i="7"/>
  <c r="P40" i="7"/>
  <c r="Q40" i="7"/>
  <c r="R40" i="7"/>
  <c r="P41" i="7"/>
  <c r="Q41" i="7"/>
  <c r="R41" i="7"/>
  <c r="P42" i="7"/>
  <c r="Q42" i="7"/>
  <c r="R42" i="7"/>
  <c r="P43" i="7"/>
  <c r="Q43" i="7"/>
  <c r="R43" i="7"/>
  <c r="P44" i="7"/>
  <c r="Q44" i="7"/>
  <c r="R44" i="7"/>
  <c r="P45" i="7"/>
  <c r="Q45" i="7"/>
  <c r="R45" i="7"/>
  <c r="P46" i="7"/>
  <c r="Q46" i="7"/>
  <c r="R46" i="7"/>
  <c r="P47" i="7"/>
  <c r="Q47" i="7"/>
  <c r="R47" i="7"/>
  <c r="P48" i="7"/>
  <c r="Q48" i="7"/>
  <c r="R48" i="7"/>
  <c r="P49" i="7"/>
  <c r="Q49" i="7"/>
  <c r="R49" i="7"/>
  <c r="P50" i="7"/>
  <c r="Q50" i="7"/>
  <c r="R50" i="7"/>
  <c r="P51" i="7"/>
  <c r="Q51" i="7"/>
  <c r="R51" i="7"/>
  <c r="P52" i="7"/>
  <c r="Q52" i="7"/>
  <c r="R52" i="7"/>
  <c r="P53" i="7"/>
  <c r="Q53" i="7"/>
  <c r="R53" i="7"/>
  <c r="P54" i="7"/>
  <c r="Q54" i="7"/>
  <c r="R54" i="7"/>
  <c r="P55" i="7"/>
  <c r="Q55" i="7"/>
  <c r="R55" i="7"/>
  <c r="P56" i="7"/>
  <c r="Q56" i="7"/>
  <c r="R56" i="7"/>
  <c r="P57" i="7"/>
  <c r="Q57" i="7"/>
  <c r="R57" i="7"/>
  <c r="P58" i="7"/>
  <c r="Q58" i="7"/>
  <c r="R58" i="7"/>
  <c r="P59" i="7"/>
  <c r="Q59" i="7"/>
  <c r="R59" i="7"/>
  <c r="P60" i="7"/>
  <c r="Q60" i="7"/>
  <c r="R60" i="7"/>
  <c r="P61" i="7"/>
  <c r="Q61" i="7"/>
  <c r="R61" i="7"/>
  <c r="P62" i="7"/>
  <c r="Q62" i="7"/>
  <c r="R62" i="7"/>
  <c r="P63" i="7"/>
  <c r="Q63" i="7"/>
  <c r="R63" i="7"/>
  <c r="P64" i="7"/>
  <c r="Q64" i="7"/>
  <c r="R64" i="7"/>
  <c r="P65" i="7"/>
  <c r="Q65" i="7"/>
  <c r="R65" i="7"/>
  <c r="P66" i="7"/>
  <c r="Q66" i="7"/>
  <c r="R66" i="7"/>
  <c r="P67" i="7"/>
  <c r="Q67" i="7"/>
  <c r="R67" i="7"/>
  <c r="P68" i="7"/>
  <c r="Q68" i="7"/>
  <c r="R68" i="7"/>
  <c r="P69" i="7"/>
  <c r="Q69" i="7"/>
  <c r="R69" i="7"/>
  <c r="P70" i="7"/>
  <c r="Q70" i="7"/>
  <c r="R70" i="7"/>
  <c r="P71" i="7"/>
  <c r="Q71" i="7"/>
  <c r="R71" i="7"/>
  <c r="P72" i="7"/>
  <c r="Q72" i="7"/>
  <c r="R72" i="7"/>
  <c r="P73" i="7"/>
  <c r="Q73" i="7"/>
  <c r="R73" i="7"/>
  <c r="P74" i="7"/>
  <c r="Q74" i="7"/>
  <c r="R74" i="7"/>
  <c r="P75" i="7"/>
  <c r="Q75" i="7"/>
  <c r="R75" i="7"/>
  <c r="P76" i="7"/>
  <c r="Q76" i="7"/>
  <c r="R76" i="7"/>
  <c r="P77" i="7"/>
  <c r="Q77" i="7"/>
  <c r="R77" i="7"/>
  <c r="P78" i="7"/>
  <c r="Q78" i="7"/>
  <c r="R78" i="7"/>
  <c r="P79" i="7"/>
  <c r="Q79" i="7"/>
  <c r="R79" i="7"/>
  <c r="P80" i="7"/>
  <c r="Q80" i="7"/>
  <c r="R80" i="7"/>
  <c r="P81" i="7"/>
  <c r="Q81" i="7"/>
  <c r="R81" i="7"/>
  <c r="P82" i="7"/>
  <c r="Q82" i="7"/>
  <c r="R82" i="7"/>
  <c r="P83" i="7"/>
  <c r="Q83" i="7"/>
  <c r="R83" i="7"/>
  <c r="P84" i="7"/>
  <c r="Q84" i="7"/>
  <c r="R84" i="7"/>
  <c r="P85" i="7"/>
  <c r="Q85" i="7"/>
  <c r="R85" i="7"/>
  <c r="P86" i="7"/>
  <c r="Q86" i="7"/>
  <c r="R86" i="7"/>
  <c r="P87" i="7"/>
  <c r="Q87" i="7"/>
  <c r="R87" i="7"/>
  <c r="P88" i="7"/>
  <c r="Q88" i="7"/>
  <c r="R88" i="7"/>
  <c r="P89" i="7"/>
  <c r="Q89" i="7"/>
  <c r="R89" i="7"/>
  <c r="P90" i="7"/>
  <c r="Q90" i="7"/>
  <c r="R90" i="7"/>
  <c r="P91" i="7"/>
  <c r="Q91" i="7"/>
  <c r="R91" i="7"/>
  <c r="P92" i="7"/>
  <c r="Q92" i="7"/>
  <c r="R92" i="7"/>
  <c r="P93" i="7"/>
  <c r="Q93" i="7"/>
  <c r="R93" i="7"/>
  <c r="P94" i="7"/>
  <c r="Q94" i="7"/>
  <c r="R94" i="7"/>
  <c r="P95" i="7"/>
  <c r="Q95" i="7"/>
  <c r="R95" i="7"/>
  <c r="P96" i="7"/>
  <c r="Q96" i="7"/>
  <c r="R96" i="7"/>
  <c r="P97" i="7"/>
  <c r="Q97" i="7"/>
  <c r="R97" i="7"/>
  <c r="P98" i="7"/>
  <c r="Q98" i="7"/>
  <c r="R98" i="7"/>
  <c r="P99" i="7"/>
  <c r="Q99" i="7"/>
  <c r="R99" i="7"/>
  <c r="P100" i="7"/>
  <c r="Q100" i="7"/>
  <c r="R100" i="7"/>
  <c r="P101" i="7"/>
  <c r="Q101" i="7"/>
  <c r="R101" i="7"/>
  <c r="P102" i="7"/>
  <c r="Q102" i="7"/>
  <c r="R102" i="7"/>
  <c r="P103" i="7"/>
  <c r="Q103" i="7"/>
  <c r="R103" i="7"/>
  <c r="P104" i="7"/>
  <c r="Q104" i="7"/>
  <c r="R104" i="7"/>
  <c r="P105" i="7"/>
  <c r="Q105" i="7"/>
  <c r="R105" i="7"/>
  <c r="Q106" i="7"/>
  <c r="R106" i="7"/>
  <c r="Q107" i="7"/>
  <c r="R107" i="7"/>
  <c r="Q108" i="7"/>
  <c r="R108" i="7"/>
  <c r="Q109" i="7"/>
  <c r="R109" i="7"/>
  <c r="R10" i="7"/>
  <c r="Q10" i="7"/>
  <c r="P10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J11" i="7"/>
  <c r="J12" i="7"/>
  <c r="B10" i="12" s="1"/>
  <c r="J13" i="7"/>
  <c r="B11" i="12" s="1"/>
  <c r="J14" i="7"/>
  <c r="B12" i="12" s="1"/>
  <c r="J15" i="7"/>
  <c r="B13" i="12" s="1"/>
  <c r="J16" i="7"/>
  <c r="B14" i="12" s="1"/>
  <c r="J17" i="7"/>
  <c r="J18" i="7"/>
  <c r="J19" i="7"/>
  <c r="J20" i="7"/>
  <c r="B18" i="12" s="1"/>
  <c r="J21" i="7"/>
  <c r="J22" i="7"/>
  <c r="B20" i="12" s="1"/>
  <c r="J23" i="7"/>
  <c r="J24" i="7"/>
  <c r="B22" i="12" s="1"/>
  <c r="J25" i="7"/>
  <c r="J26" i="7"/>
  <c r="J27" i="7"/>
  <c r="J28" i="7"/>
  <c r="B26" i="12" s="1"/>
  <c r="J29" i="7"/>
  <c r="J30" i="7"/>
  <c r="B28" i="12" s="1"/>
  <c r="J31" i="7"/>
  <c r="J32" i="7"/>
  <c r="B30" i="12" s="1"/>
  <c r="J33" i="7"/>
  <c r="J34" i="7"/>
  <c r="B32" i="12" s="1"/>
  <c r="J35" i="7"/>
  <c r="J36" i="7"/>
  <c r="B34" i="12" s="1"/>
  <c r="J37" i="7"/>
  <c r="J38" i="7"/>
  <c r="B36" i="12" s="1"/>
  <c r="J39" i="7"/>
  <c r="J40" i="7"/>
  <c r="B38" i="12" s="1"/>
  <c r="J41" i="7"/>
  <c r="J42" i="7"/>
  <c r="B40" i="12" s="1"/>
  <c r="J43" i="7"/>
  <c r="J44" i="7"/>
  <c r="B42" i="12" s="1"/>
  <c r="J45" i="7"/>
  <c r="J46" i="7"/>
  <c r="B44" i="12" s="1"/>
  <c r="J47" i="7"/>
  <c r="J48" i="7"/>
  <c r="B46" i="12" s="1"/>
  <c r="J49" i="7"/>
  <c r="J50" i="7"/>
  <c r="B48" i="12" s="1"/>
  <c r="J51" i="7"/>
  <c r="J52" i="7"/>
  <c r="B50" i="12" s="1"/>
  <c r="J53" i="7"/>
  <c r="J54" i="7"/>
  <c r="B52" i="12" s="1"/>
  <c r="J55" i="7"/>
  <c r="J56" i="7"/>
  <c r="B54" i="12" s="1"/>
  <c r="J57" i="7"/>
  <c r="J58" i="7"/>
  <c r="B56" i="12" s="1"/>
  <c r="J59" i="7"/>
  <c r="J60" i="7"/>
  <c r="B58" i="12" s="1"/>
  <c r="J61" i="7"/>
  <c r="J62" i="7"/>
  <c r="B60" i="12" s="1"/>
  <c r="J63" i="7"/>
  <c r="J64" i="7"/>
  <c r="B62" i="12" s="1"/>
  <c r="J65" i="7"/>
  <c r="J66" i="7"/>
  <c r="B64" i="12" s="1"/>
  <c r="J67" i="7"/>
  <c r="J68" i="7"/>
  <c r="B66" i="12" s="1"/>
  <c r="J69" i="7"/>
  <c r="J70" i="7"/>
  <c r="B68" i="12" s="1"/>
  <c r="J71" i="7"/>
  <c r="J72" i="7"/>
  <c r="B70" i="12" s="1"/>
  <c r="J73" i="7"/>
  <c r="J74" i="7"/>
  <c r="B72" i="12" s="1"/>
  <c r="J75" i="7"/>
  <c r="J76" i="7"/>
  <c r="B74" i="12" s="1"/>
  <c r="J77" i="7"/>
  <c r="J78" i="7"/>
  <c r="B76" i="12" s="1"/>
  <c r="J79" i="7"/>
  <c r="J80" i="7"/>
  <c r="B78" i="12" s="1"/>
  <c r="J81" i="7"/>
  <c r="J82" i="7"/>
  <c r="B80" i="12" s="1"/>
  <c r="J83" i="7"/>
  <c r="J84" i="7"/>
  <c r="B82" i="12" s="1"/>
  <c r="J85" i="7"/>
  <c r="J86" i="7"/>
  <c r="B84" i="12" s="1"/>
  <c r="J87" i="7"/>
  <c r="J88" i="7"/>
  <c r="B86" i="12" s="1"/>
  <c r="J89" i="7"/>
  <c r="J90" i="7"/>
  <c r="B88" i="12" s="1"/>
  <c r="J91" i="7"/>
  <c r="J92" i="7"/>
  <c r="B90" i="12" s="1"/>
  <c r="J93" i="7"/>
  <c r="J94" i="7"/>
  <c r="B92" i="12" s="1"/>
  <c r="J95" i="7"/>
  <c r="J96" i="7"/>
  <c r="B94" i="12" s="1"/>
  <c r="J97" i="7"/>
  <c r="J98" i="7"/>
  <c r="B96" i="12" s="1"/>
  <c r="J99" i="7"/>
  <c r="J100" i="7"/>
  <c r="B98" i="12" s="1"/>
  <c r="J101" i="7"/>
  <c r="J102" i="7"/>
  <c r="B100" i="12" s="1"/>
  <c r="J103" i="7"/>
  <c r="J104" i="7"/>
  <c r="B102" i="12" s="1"/>
  <c r="J105" i="7"/>
  <c r="J106" i="7"/>
  <c r="B104" i="12" s="1"/>
  <c r="J107" i="7"/>
  <c r="J108" i="7"/>
  <c r="B106" i="12" s="1"/>
  <c r="J109" i="7"/>
  <c r="J10" i="7"/>
  <c r="K10" i="7"/>
  <c r="K11" i="7"/>
  <c r="K12" i="7"/>
  <c r="C10" i="12" s="1"/>
  <c r="K13" i="7"/>
  <c r="C11" i="12" s="1"/>
  <c r="K14" i="7"/>
  <c r="C12" i="12" s="1"/>
  <c r="K15" i="7"/>
  <c r="C13" i="12" s="1"/>
  <c r="K16" i="7"/>
  <c r="C14" i="12" s="1"/>
  <c r="K17" i="7"/>
  <c r="C15" i="12" s="1"/>
  <c r="K18" i="7"/>
  <c r="C16" i="12" s="1"/>
  <c r="K19" i="7"/>
  <c r="C17" i="12" s="1"/>
  <c r="K20" i="7"/>
  <c r="C18" i="12" s="1"/>
  <c r="K21" i="7"/>
  <c r="C19" i="12" s="1"/>
  <c r="K22" i="7"/>
  <c r="C20" i="12" s="1"/>
  <c r="K23" i="7"/>
  <c r="C21" i="12" s="1"/>
  <c r="K24" i="7"/>
  <c r="C22" i="12" s="1"/>
  <c r="K25" i="7"/>
  <c r="C23" i="12" s="1"/>
  <c r="K26" i="7"/>
  <c r="C24" i="12" s="1"/>
  <c r="K27" i="7"/>
  <c r="C25" i="12" s="1"/>
  <c r="K28" i="7"/>
  <c r="C26" i="12" s="1"/>
  <c r="K29" i="7"/>
  <c r="C27" i="12" s="1"/>
  <c r="K30" i="7"/>
  <c r="C28" i="12" s="1"/>
  <c r="K31" i="7"/>
  <c r="C29" i="12" s="1"/>
  <c r="K32" i="7"/>
  <c r="C30" i="12" s="1"/>
  <c r="K33" i="7"/>
  <c r="C31" i="12" s="1"/>
  <c r="K34" i="7"/>
  <c r="C32" i="12" s="1"/>
  <c r="K35" i="7"/>
  <c r="C33" i="12" s="1"/>
  <c r="K36" i="7"/>
  <c r="C34" i="12" s="1"/>
  <c r="K37" i="7"/>
  <c r="C35" i="12" s="1"/>
  <c r="K38" i="7"/>
  <c r="C36" i="12" s="1"/>
  <c r="K39" i="7"/>
  <c r="C37" i="12" s="1"/>
  <c r="K40" i="7"/>
  <c r="C38" i="12" s="1"/>
  <c r="K41" i="7"/>
  <c r="C39" i="12" s="1"/>
  <c r="K42" i="7"/>
  <c r="C40" i="12" s="1"/>
  <c r="K43" i="7"/>
  <c r="C41" i="12" s="1"/>
  <c r="K44" i="7"/>
  <c r="C42" i="12" s="1"/>
  <c r="K45" i="7"/>
  <c r="C43" i="12" s="1"/>
  <c r="K46" i="7"/>
  <c r="C44" i="12" s="1"/>
  <c r="K47" i="7"/>
  <c r="C45" i="12" s="1"/>
  <c r="K48" i="7"/>
  <c r="C46" i="12" s="1"/>
  <c r="K49" i="7"/>
  <c r="C47" i="12" s="1"/>
  <c r="K50" i="7"/>
  <c r="C48" i="12" s="1"/>
  <c r="K51" i="7"/>
  <c r="C49" i="12" s="1"/>
  <c r="K52" i="7"/>
  <c r="C50" i="12" s="1"/>
  <c r="K53" i="7"/>
  <c r="C51" i="12" s="1"/>
  <c r="K54" i="7"/>
  <c r="C52" i="12" s="1"/>
  <c r="K55" i="7"/>
  <c r="C53" i="12" s="1"/>
  <c r="K56" i="7"/>
  <c r="C54" i="12" s="1"/>
  <c r="K57" i="7"/>
  <c r="C55" i="12" s="1"/>
  <c r="K58" i="7"/>
  <c r="C56" i="12" s="1"/>
  <c r="K59" i="7"/>
  <c r="C57" i="12" s="1"/>
  <c r="K60" i="7"/>
  <c r="C58" i="12" s="1"/>
  <c r="K61" i="7"/>
  <c r="C59" i="12" s="1"/>
  <c r="K62" i="7"/>
  <c r="C60" i="12" s="1"/>
  <c r="K63" i="7"/>
  <c r="C61" i="12" s="1"/>
  <c r="K64" i="7"/>
  <c r="C62" i="12" s="1"/>
  <c r="K65" i="7"/>
  <c r="C63" i="12" s="1"/>
  <c r="K66" i="7"/>
  <c r="C64" i="12" s="1"/>
  <c r="K67" i="7"/>
  <c r="C65" i="12" s="1"/>
  <c r="K68" i="7"/>
  <c r="C66" i="12" s="1"/>
  <c r="K69" i="7"/>
  <c r="C67" i="12" s="1"/>
  <c r="K70" i="7"/>
  <c r="C68" i="12" s="1"/>
  <c r="K71" i="7"/>
  <c r="C69" i="12" s="1"/>
  <c r="K72" i="7"/>
  <c r="C70" i="12" s="1"/>
  <c r="K73" i="7"/>
  <c r="C71" i="12" s="1"/>
  <c r="K74" i="7"/>
  <c r="C72" i="12" s="1"/>
  <c r="K75" i="7"/>
  <c r="C73" i="12" s="1"/>
  <c r="K76" i="7"/>
  <c r="C74" i="12" s="1"/>
  <c r="K77" i="7"/>
  <c r="C75" i="12" s="1"/>
  <c r="K78" i="7"/>
  <c r="C76" i="12" s="1"/>
  <c r="K79" i="7"/>
  <c r="C77" i="12" s="1"/>
  <c r="K80" i="7"/>
  <c r="C78" i="12" s="1"/>
  <c r="K81" i="7"/>
  <c r="C79" i="12" s="1"/>
  <c r="K82" i="7"/>
  <c r="C80" i="12" s="1"/>
  <c r="K83" i="7"/>
  <c r="C81" i="12" s="1"/>
  <c r="K84" i="7"/>
  <c r="C82" i="12" s="1"/>
  <c r="K85" i="7"/>
  <c r="C83" i="12" s="1"/>
  <c r="K86" i="7"/>
  <c r="C84" i="12" s="1"/>
  <c r="K87" i="7"/>
  <c r="C85" i="12" s="1"/>
  <c r="K88" i="7"/>
  <c r="C86" i="12" s="1"/>
  <c r="K89" i="7"/>
  <c r="C87" i="12" s="1"/>
  <c r="K90" i="7"/>
  <c r="C88" i="12" s="1"/>
  <c r="K91" i="7"/>
  <c r="C89" i="12" s="1"/>
  <c r="K92" i="7"/>
  <c r="C90" i="12" s="1"/>
  <c r="K93" i="7"/>
  <c r="C91" i="12" s="1"/>
  <c r="K94" i="7"/>
  <c r="C92" i="12" s="1"/>
  <c r="K95" i="7"/>
  <c r="C93" i="12" s="1"/>
  <c r="K96" i="7"/>
  <c r="C94" i="12" s="1"/>
  <c r="K97" i="7"/>
  <c r="C95" i="12" s="1"/>
  <c r="K98" i="7"/>
  <c r="C96" i="12" s="1"/>
  <c r="K99" i="7"/>
  <c r="C97" i="12" s="1"/>
  <c r="K100" i="7"/>
  <c r="C98" i="12" s="1"/>
  <c r="K101" i="7"/>
  <c r="C99" i="12" s="1"/>
  <c r="K102" i="7"/>
  <c r="C100" i="12" s="1"/>
  <c r="K103" i="7"/>
  <c r="C101" i="12" s="1"/>
  <c r="K104" i="7"/>
  <c r="C102" i="12" s="1"/>
  <c r="K105" i="7"/>
  <c r="C103" i="12" s="1"/>
  <c r="K106" i="7"/>
  <c r="C104" i="12" s="1"/>
  <c r="K107" i="7"/>
  <c r="C105" i="12" s="1"/>
  <c r="K108" i="7"/>
  <c r="C106" i="12" s="1"/>
  <c r="K109" i="7"/>
  <c r="C107" i="12" s="1"/>
  <c r="J12" i="12" l="1"/>
  <c r="I12" i="12" s="1"/>
  <c r="D12" i="12"/>
  <c r="G109" i="9"/>
  <c r="F109" i="9" s="1"/>
  <c r="B107" i="12"/>
  <c r="G107" i="9"/>
  <c r="F107" i="9" s="1"/>
  <c r="B105" i="12"/>
  <c r="G105" i="9"/>
  <c r="F105" i="9" s="1"/>
  <c r="B103" i="12"/>
  <c r="G103" i="9"/>
  <c r="F103" i="9" s="1"/>
  <c r="B101" i="12"/>
  <c r="G101" i="9"/>
  <c r="F101" i="9" s="1"/>
  <c r="B99" i="12"/>
  <c r="G99" i="9"/>
  <c r="F99" i="9" s="1"/>
  <c r="B97" i="12"/>
  <c r="G97" i="9"/>
  <c r="F97" i="9" s="1"/>
  <c r="B95" i="12"/>
  <c r="G95" i="9"/>
  <c r="F95" i="9" s="1"/>
  <c r="B93" i="12"/>
  <c r="G93" i="9"/>
  <c r="F93" i="9" s="1"/>
  <c r="B91" i="12"/>
  <c r="G91" i="9"/>
  <c r="F91" i="9" s="1"/>
  <c r="B89" i="12"/>
  <c r="G89" i="9"/>
  <c r="F89" i="9" s="1"/>
  <c r="B87" i="12"/>
  <c r="G87" i="9"/>
  <c r="F87" i="9" s="1"/>
  <c r="B85" i="12"/>
  <c r="G85" i="9"/>
  <c r="F85" i="9" s="1"/>
  <c r="B83" i="12"/>
  <c r="G83" i="9"/>
  <c r="F83" i="9" s="1"/>
  <c r="B81" i="12"/>
  <c r="G81" i="9"/>
  <c r="F81" i="9" s="1"/>
  <c r="B79" i="12"/>
  <c r="G79" i="9"/>
  <c r="F79" i="9" s="1"/>
  <c r="B77" i="12"/>
  <c r="G77" i="9"/>
  <c r="F77" i="9" s="1"/>
  <c r="B75" i="12"/>
  <c r="G75" i="9"/>
  <c r="F75" i="9" s="1"/>
  <c r="B73" i="12"/>
  <c r="G73" i="9"/>
  <c r="F73" i="9" s="1"/>
  <c r="B71" i="12"/>
  <c r="G71" i="9"/>
  <c r="F71" i="9" s="1"/>
  <c r="B69" i="12"/>
  <c r="G69" i="9"/>
  <c r="F69" i="9" s="1"/>
  <c r="B67" i="12"/>
  <c r="G67" i="9"/>
  <c r="F67" i="9" s="1"/>
  <c r="B65" i="12"/>
  <c r="G65" i="9"/>
  <c r="F65" i="9" s="1"/>
  <c r="B63" i="12"/>
  <c r="G63" i="9"/>
  <c r="F63" i="9" s="1"/>
  <c r="B61" i="12"/>
  <c r="G61" i="9"/>
  <c r="F61" i="9" s="1"/>
  <c r="B59" i="12"/>
  <c r="G59" i="9"/>
  <c r="F59" i="9" s="1"/>
  <c r="B57" i="12"/>
  <c r="G57" i="9"/>
  <c r="F57" i="9" s="1"/>
  <c r="B55" i="12"/>
  <c r="G55" i="9"/>
  <c r="F55" i="9" s="1"/>
  <c r="B53" i="12"/>
  <c r="G53" i="9"/>
  <c r="F53" i="9" s="1"/>
  <c r="B51" i="12"/>
  <c r="G51" i="9"/>
  <c r="F51" i="9" s="1"/>
  <c r="B49" i="12"/>
  <c r="G49" i="9"/>
  <c r="F49" i="9" s="1"/>
  <c r="B47" i="12"/>
  <c r="G47" i="9"/>
  <c r="F47" i="9" s="1"/>
  <c r="B45" i="12"/>
  <c r="G45" i="9"/>
  <c r="F45" i="9" s="1"/>
  <c r="B43" i="12"/>
  <c r="G43" i="9"/>
  <c r="F43" i="9" s="1"/>
  <c r="B41" i="12"/>
  <c r="G41" i="9"/>
  <c r="F41" i="9" s="1"/>
  <c r="B39" i="12"/>
  <c r="G39" i="9"/>
  <c r="F39" i="9" s="1"/>
  <c r="B37" i="12"/>
  <c r="G37" i="9"/>
  <c r="F37" i="9" s="1"/>
  <c r="B35" i="12"/>
  <c r="G35" i="9"/>
  <c r="F35" i="9" s="1"/>
  <c r="B33" i="12"/>
  <c r="G33" i="9"/>
  <c r="F33" i="9" s="1"/>
  <c r="B31" i="12"/>
  <c r="G31" i="9"/>
  <c r="F31" i="9" s="1"/>
  <c r="B29" i="12"/>
  <c r="G29" i="9"/>
  <c r="F29" i="9" s="1"/>
  <c r="B27" i="12"/>
  <c r="B25" i="12"/>
  <c r="B23" i="12"/>
  <c r="B21" i="12"/>
  <c r="B19" i="12"/>
  <c r="B17" i="12"/>
  <c r="B15" i="12"/>
  <c r="J13" i="12"/>
  <c r="I13" i="12" s="1"/>
  <c r="D13" i="12"/>
  <c r="D11" i="12"/>
  <c r="J11" i="12"/>
  <c r="I11" i="12" s="1"/>
  <c r="D106" i="12"/>
  <c r="J106" i="12"/>
  <c r="I106" i="12" s="1"/>
  <c r="J104" i="12"/>
  <c r="I104" i="12" s="1"/>
  <c r="D104" i="12"/>
  <c r="J102" i="12"/>
  <c r="I102" i="12" s="1"/>
  <c r="D102" i="12"/>
  <c r="J100" i="12"/>
  <c r="I100" i="12" s="1"/>
  <c r="D100" i="12"/>
  <c r="J98" i="12"/>
  <c r="I98" i="12" s="1"/>
  <c r="D98" i="12"/>
  <c r="J96" i="12"/>
  <c r="I96" i="12" s="1"/>
  <c r="D96" i="12"/>
  <c r="J94" i="12"/>
  <c r="I94" i="12" s="1"/>
  <c r="D94" i="12"/>
  <c r="J92" i="12"/>
  <c r="I92" i="12" s="1"/>
  <c r="D92" i="12"/>
  <c r="J90" i="12"/>
  <c r="I90" i="12" s="1"/>
  <c r="D90" i="12"/>
  <c r="J88" i="12"/>
  <c r="I88" i="12" s="1"/>
  <c r="D88" i="12"/>
  <c r="J86" i="12"/>
  <c r="I86" i="12" s="1"/>
  <c r="D86" i="12"/>
  <c r="J84" i="12"/>
  <c r="I84" i="12" s="1"/>
  <c r="D84" i="12"/>
  <c r="J82" i="12"/>
  <c r="I82" i="12" s="1"/>
  <c r="D82" i="12"/>
  <c r="J80" i="12"/>
  <c r="I80" i="12" s="1"/>
  <c r="D80" i="12"/>
  <c r="J78" i="12"/>
  <c r="I78" i="12" s="1"/>
  <c r="D78" i="12"/>
  <c r="J76" i="12"/>
  <c r="I76" i="12" s="1"/>
  <c r="D76" i="12"/>
  <c r="J74" i="12"/>
  <c r="I74" i="12" s="1"/>
  <c r="D74" i="12"/>
  <c r="J72" i="12"/>
  <c r="I72" i="12" s="1"/>
  <c r="D72" i="12"/>
  <c r="J70" i="12"/>
  <c r="I70" i="12" s="1"/>
  <c r="D70" i="12"/>
  <c r="J68" i="12"/>
  <c r="I68" i="12" s="1"/>
  <c r="D68" i="12"/>
  <c r="J66" i="12"/>
  <c r="I66" i="12" s="1"/>
  <c r="D66" i="12"/>
  <c r="J64" i="12"/>
  <c r="I64" i="12" s="1"/>
  <c r="D64" i="12"/>
  <c r="J62" i="12"/>
  <c r="I62" i="12" s="1"/>
  <c r="D62" i="12"/>
  <c r="J60" i="12"/>
  <c r="I60" i="12" s="1"/>
  <c r="D60" i="12"/>
  <c r="J58" i="12"/>
  <c r="I58" i="12" s="1"/>
  <c r="D58" i="12"/>
  <c r="J56" i="12"/>
  <c r="I56" i="12" s="1"/>
  <c r="D56" i="12"/>
  <c r="J54" i="12"/>
  <c r="I54" i="12" s="1"/>
  <c r="D54" i="12"/>
  <c r="J52" i="12"/>
  <c r="I52" i="12" s="1"/>
  <c r="D52" i="12"/>
  <c r="J50" i="12"/>
  <c r="I50" i="12" s="1"/>
  <c r="D50" i="12"/>
  <c r="J48" i="12"/>
  <c r="I48" i="12" s="1"/>
  <c r="D48" i="12"/>
  <c r="J46" i="12"/>
  <c r="I46" i="12" s="1"/>
  <c r="D46" i="12"/>
  <c r="J44" i="12"/>
  <c r="I44" i="12" s="1"/>
  <c r="D44" i="12"/>
  <c r="J42" i="12"/>
  <c r="I42" i="12" s="1"/>
  <c r="D42" i="12"/>
  <c r="J40" i="12"/>
  <c r="I40" i="12" s="1"/>
  <c r="D40" i="12"/>
  <c r="J38" i="12"/>
  <c r="I38" i="12" s="1"/>
  <c r="D38" i="12"/>
  <c r="J36" i="12"/>
  <c r="I36" i="12" s="1"/>
  <c r="D36" i="12"/>
  <c r="J34" i="12"/>
  <c r="I34" i="12" s="1"/>
  <c r="D34" i="12"/>
  <c r="J32" i="12"/>
  <c r="I32" i="12" s="1"/>
  <c r="D32" i="12"/>
  <c r="J30" i="12"/>
  <c r="I30" i="12" s="1"/>
  <c r="D30" i="12"/>
  <c r="J28" i="12"/>
  <c r="I28" i="12" s="1"/>
  <c r="D28" i="12"/>
  <c r="J26" i="12"/>
  <c r="I26" i="12" s="1"/>
  <c r="D26" i="12"/>
  <c r="B24" i="12"/>
  <c r="J22" i="12"/>
  <c r="I22" i="12" s="1"/>
  <c r="D22" i="12"/>
  <c r="J20" i="12"/>
  <c r="I20" i="12" s="1"/>
  <c r="D20" i="12"/>
  <c r="J18" i="12"/>
  <c r="I18" i="12" s="1"/>
  <c r="D18" i="12"/>
  <c r="B16" i="12"/>
  <c r="J14" i="12"/>
  <c r="I14" i="12" s="1"/>
  <c r="D14" i="12"/>
  <c r="D10" i="12"/>
  <c r="J10" i="12"/>
  <c r="I10" i="12" s="1"/>
  <c r="H21" i="10"/>
  <c r="B7" i="8"/>
  <c r="M10" i="7"/>
  <c r="S10" i="7" s="1"/>
  <c r="C10" i="9" s="1"/>
  <c r="G10" i="9" s="1"/>
  <c r="F10" i="9" s="1"/>
  <c r="L10" i="7"/>
  <c r="B6" i="8" s="1"/>
  <c r="D4" i="8" s="1"/>
  <c r="C7" i="12"/>
  <c r="D8" i="11"/>
  <c r="C21" i="10"/>
  <c r="B5" i="8"/>
  <c r="E5" i="8" s="1"/>
  <c r="E4" i="8" s="1"/>
  <c r="C110" i="9"/>
  <c r="G110" i="9" s="1"/>
  <c r="F110" i="9" s="1"/>
  <c r="L108" i="7"/>
  <c r="G108" i="9"/>
  <c r="F108" i="9" s="1"/>
  <c r="M106" i="7"/>
  <c r="G106" i="9"/>
  <c r="F106" i="9" s="1"/>
  <c r="L104" i="7"/>
  <c r="G104" i="9"/>
  <c r="F104" i="9" s="1"/>
  <c r="M102" i="7"/>
  <c r="G102" i="9"/>
  <c r="F102" i="9" s="1"/>
  <c r="L100" i="7"/>
  <c r="G100" i="9"/>
  <c r="F100" i="9" s="1"/>
  <c r="L98" i="7"/>
  <c r="G98" i="9"/>
  <c r="F98" i="9" s="1"/>
  <c r="M96" i="7"/>
  <c r="G96" i="9"/>
  <c r="F96" i="9" s="1"/>
  <c r="L94" i="7"/>
  <c r="G94" i="9"/>
  <c r="F94" i="9" s="1"/>
  <c r="L92" i="7"/>
  <c r="G92" i="9"/>
  <c r="F92" i="9" s="1"/>
  <c r="L90" i="7"/>
  <c r="G90" i="9"/>
  <c r="F90" i="9" s="1"/>
  <c r="M88" i="7"/>
  <c r="G88" i="9"/>
  <c r="F88" i="9" s="1"/>
  <c r="L86" i="7"/>
  <c r="G86" i="9"/>
  <c r="F86" i="9" s="1"/>
  <c r="L84" i="7"/>
  <c r="G84" i="9"/>
  <c r="F84" i="9" s="1"/>
  <c r="L82" i="7"/>
  <c r="G82" i="9"/>
  <c r="F82" i="9" s="1"/>
  <c r="M80" i="7"/>
  <c r="G80" i="9"/>
  <c r="F80" i="9" s="1"/>
  <c r="L78" i="7"/>
  <c r="B482" i="8" s="1"/>
  <c r="D480" i="8" s="1"/>
  <c r="G78" i="9"/>
  <c r="F78" i="9" s="1"/>
  <c r="L76" i="7"/>
  <c r="B468" i="8" s="1"/>
  <c r="G76" i="9"/>
  <c r="F76" i="9" s="1"/>
  <c r="L74" i="7"/>
  <c r="G74" i="9"/>
  <c r="F74" i="9" s="1"/>
  <c r="M72" i="7"/>
  <c r="G72" i="9"/>
  <c r="F72" i="9" s="1"/>
  <c r="L70" i="7"/>
  <c r="G70" i="9"/>
  <c r="F70" i="9" s="1"/>
  <c r="L68" i="7"/>
  <c r="G68" i="9"/>
  <c r="F68" i="9" s="1"/>
  <c r="L66" i="7"/>
  <c r="G66" i="9"/>
  <c r="F66" i="9" s="1"/>
  <c r="M64" i="7"/>
  <c r="G64" i="9"/>
  <c r="F64" i="9" s="1"/>
  <c r="L62" i="7"/>
  <c r="G62" i="9"/>
  <c r="F62" i="9" s="1"/>
  <c r="L60" i="7"/>
  <c r="G60" i="9"/>
  <c r="F60" i="9" s="1"/>
  <c r="L58" i="7"/>
  <c r="G58" i="9"/>
  <c r="F58" i="9" s="1"/>
  <c r="M56" i="7"/>
  <c r="G56" i="9"/>
  <c r="F56" i="9" s="1"/>
  <c r="L54" i="7"/>
  <c r="B314" i="8" s="1"/>
  <c r="D313" i="8" s="1"/>
  <c r="G54" i="9"/>
  <c r="F54" i="9" s="1"/>
  <c r="L52" i="7"/>
  <c r="B300" i="8" s="1"/>
  <c r="G52" i="9"/>
  <c r="F52" i="9" s="1"/>
  <c r="L50" i="7"/>
  <c r="B286" i="8" s="1"/>
  <c r="D285" i="8" s="1"/>
  <c r="G50" i="9"/>
  <c r="F50" i="9" s="1"/>
  <c r="M48" i="7"/>
  <c r="G48" i="9"/>
  <c r="F48" i="9" s="1"/>
  <c r="L46" i="7"/>
  <c r="B258" i="8" s="1"/>
  <c r="D257" i="8" s="1"/>
  <c r="G46" i="9"/>
  <c r="F46" i="9" s="1"/>
  <c r="L44" i="7"/>
  <c r="B244" i="8" s="1"/>
  <c r="G44" i="9"/>
  <c r="F44" i="9" s="1"/>
  <c r="L42" i="7"/>
  <c r="B230" i="8" s="1"/>
  <c r="D228" i="8" s="1"/>
  <c r="G42" i="9"/>
  <c r="F42" i="9" s="1"/>
  <c r="M40" i="7"/>
  <c r="G40" i="9"/>
  <c r="F40" i="9" s="1"/>
  <c r="G38" i="9"/>
  <c r="F38" i="9" s="1"/>
  <c r="G36" i="9"/>
  <c r="F36" i="9" s="1"/>
  <c r="G34" i="9"/>
  <c r="F34" i="9" s="1"/>
  <c r="G32" i="9"/>
  <c r="F32" i="9" s="1"/>
  <c r="G30" i="9"/>
  <c r="F30" i="9" s="1"/>
  <c r="G28" i="9"/>
  <c r="F28" i="9" s="1"/>
  <c r="L24" i="7"/>
  <c r="B104" i="8" s="1"/>
  <c r="M22" i="7"/>
  <c r="M20" i="7"/>
  <c r="L106" i="7"/>
  <c r="L102" i="7"/>
  <c r="M108" i="7"/>
  <c r="M104" i="7"/>
  <c r="M100" i="7"/>
  <c r="M92" i="7"/>
  <c r="M84" i="7"/>
  <c r="M76" i="7"/>
  <c r="M68" i="7"/>
  <c r="M60" i="7"/>
  <c r="M52" i="7"/>
  <c r="M44" i="7"/>
  <c r="L96" i="7"/>
  <c r="L88" i="7"/>
  <c r="L80" i="7"/>
  <c r="L72" i="7"/>
  <c r="L64" i="7"/>
  <c r="L56" i="7"/>
  <c r="L48" i="7"/>
  <c r="B272" i="8" s="1"/>
  <c r="L40" i="7"/>
  <c r="B216" i="8" s="1"/>
  <c r="D215" i="8" s="1"/>
  <c r="E109" i="1"/>
  <c r="G109" i="1" s="1"/>
  <c r="C213" i="10"/>
  <c r="G214" i="10" s="1"/>
  <c r="C214" i="10" s="1"/>
  <c r="B677" i="8"/>
  <c r="E677" i="8" s="1"/>
  <c r="E676" i="8" s="1"/>
  <c r="E105" i="1"/>
  <c r="G105" i="1" s="1"/>
  <c r="C205" i="10"/>
  <c r="G206" i="10" s="1"/>
  <c r="C206" i="10" s="1"/>
  <c r="B649" i="8"/>
  <c r="E649" i="8" s="1"/>
  <c r="E648" i="8" s="1"/>
  <c r="E101" i="1"/>
  <c r="C197" i="10"/>
  <c r="G198" i="10" s="1"/>
  <c r="C198" i="10" s="1"/>
  <c r="B621" i="8"/>
  <c r="E621" i="8" s="1"/>
  <c r="E620" i="8" s="1"/>
  <c r="E97" i="1"/>
  <c r="G97" i="1" s="1"/>
  <c r="C189" i="10"/>
  <c r="G190" i="10" s="1"/>
  <c r="C190" i="10" s="1"/>
  <c r="B593" i="8"/>
  <c r="E593" i="8" s="1"/>
  <c r="E592" i="8" s="1"/>
  <c r="E93" i="1"/>
  <c r="C181" i="10"/>
  <c r="G182" i="10" s="1"/>
  <c r="C182" i="10" s="1"/>
  <c r="B565" i="8"/>
  <c r="E565" i="8" s="1"/>
  <c r="E564" i="8" s="1"/>
  <c r="E89" i="1"/>
  <c r="G89" i="1" s="1"/>
  <c r="C173" i="10"/>
  <c r="G174" i="10" s="1"/>
  <c r="C174" i="10" s="1"/>
  <c r="B537" i="8"/>
  <c r="E537" i="8" s="1"/>
  <c r="E536" i="8" s="1"/>
  <c r="E85" i="1"/>
  <c r="C165" i="10"/>
  <c r="G166" i="10" s="1"/>
  <c r="C166" i="10" s="1"/>
  <c r="B509" i="8"/>
  <c r="E509" i="8" s="1"/>
  <c r="E508" i="8" s="1"/>
  <c r="E79" i="1"/>
  <c r="G79" i="1" s="1"/>
  <c r="C153" i="10"/>
  <c r="G154" i="10" s="1"/>
  <c r="C154" i="10" s="1"/>
  <c r="B467" i="8"/>
  <c r="E467" i="8" s="1"/>
  <c r="E466" i="8" s="1"/>
  <c r="E75" i="1"/>
  <c r="G75" i="1" s="1"/>
  <c r="C145" i="10"/>
  <c r="G146" i="10" s="1"/>
  <c r="C146" i="10" s="1"/>
  <c r="B439" i="8"/>
  <c r="E439" i="8" s="1"/>
  <c r="E438" i="8" s="1"/>
  <c r="E71" i="1"/>
  <c r="G71" i="1" s="1"/>
  <c r="C137" i="10"/>
  <c r="G138" i="10" s="1"/>
  <c r="C138" i="10" s="1"/>
  <c r="B411" i="8"/>
  <c r="E411" i="8" s="1"/>
  <c r="E410" i="8" s="1"/>
  <c r="E67" i="1"/>
  <c r="C129" i="10"/>
  <c r="G130" i="10" s="1"/>
  <c r="C130" i="10" s="1"/>
  <c r="B383" i="8"/>
  <c r="E383" i="8" s="1"/>
  <c r="E382" i="8" s="1"/>
  <c r="E63" i="1"/>
  <c r="C121" i="10"/>
  <c r="G122" i="10" s="1"/>
  <c r="C122" i="10" s="1"/>
  <c r="B355" i="8"/>
  <c r="E355" i="8" s="1"/>
  <c r="E354" i="8" s="1"/>
  <c r="E59" i="1"/>
  <c r="C113" i="10"/>
  <c r="G114" i="10" s="1"/>
  <c r="C114" i="10" s="1"/>
  <c r="B327" i="8"/>
  <c r="E327" i="8" s="1"/>
  <c r="E326" i="8" s="1"/>
  <c r="E55" i="1"/>
  <c r="C105" i="10"/>
  <c r="G106" i="10" s="1"/>
  <c r="C106" i="10" s="1"/>
  <c r="B299" i="8"/>
  <c r="E299" i="8" s="1"/>
  <c r="E298" i="8" s="1"/>
  <c r="E51" i="1"/>
  <c r="C97" i="10"/>
  <c r="G98" i="10" s="1"/>
  <c r="C98" i="10" s="1"/>
  <c r="B271" i="8"/>
  <c r="E271" i="8" s="1"/>
  <c r="E270" i="8" s="1"/>
  <c r="E47" i="1"/>
  <c r="C89" i="10"/>
  <c r="G90" i="10" s="1"/>
  <c r="C90" i="10" s="1"/>
  <c r="B243" i="8"/>
  <c r="E243" i="8" s="1"/>
  <c r="E242" i="8" s="1"/>
  <c r="E41" i="1"/>
  <c r="G41" i="1" s="1"/>
  <c r="E37" i="1"/>
  <c r="E33" i="1"/>
  <c r="E29" i="1"/>
  <c r="S107" i="7"/>
  <c r="C107" i="9" s="1"/>
  <c r="H215" i="10"/>
  <c r="B686" i="8"/>
  <c r="S103" i="7"/>
  <c r="C103" i="9" s="1"/>
  <c r="H207" i="10"/>
  <c r="B658" i="8"/>
  <c r="S99" i="7"/>
  <c r="C99" i="9" s="1"/>
  <c r="H199" i="10"/>
  <c r="B630" i="8"/>
  <c r="M99" i="7"/>
  <c r="S95" i="7"/>
  <c r="C95" i="9" s="1"/>
  <c r="H191" i="10"/>
  <c r="B602" i="8"/>
  <c r="M95" i="7"/>
  <c r="S91" i="7"/>
  <c r="C91" i="9" s="1"/>
  <c r="H183" i="10"/>
  <c r="B574" i="8"/>
  <c r="M91" i="7"/>
  <c r="S87" i="7"/>
  <c r="C87" i="9" s="1"/>
  <c r="H175" i="10"/>
  <c r="B546" i="8"/>
  <c r="M87" i="7"/>
  <c r="S83" i="7"/>
  <c r="C83" i="9" s="1"/>
  <c r="H167" i="10"/>
  <c r="B518" i="8"/>
  <c r="M83" i="7"/>
  <c r="S79" i="7"/>
  <c r="C79" i="9" s="1"/>
  <c r="H159" i="10"/>
  <c r="B490" i="8"/>
  <c r="M79" i="7"/>
  <c r="S75" i="7"/>
  <c r="C75" i="9" s="1"/>
  <c r="H151" i="10"/>
  <c r="B462" i="8"/>
  <c r="M75" i="7"/>
  <c r="S71" i="7"/>
  <c r="C71" i="9" s="1"/>
  <c r="H143" i="10"/>
  <c r="B434" i="8"/>
  <c r="M71" i="7"/>
  <c r="H135" i="10"/>
  <c r="B406" i="8"/>
  <c r="M67" i="7"/>
  <c r="S67" i="7" s="1"/>
  <c r="C67" i="9" s="1"/>
  <c r="S63" i="7"/>
  <c r="C63" i="9" s="1"/>
  <c r="H127" i="10"/>
  <c r="B378" i="8"/>
  <c r="M63" i="7"/>
  <c r="H119" i="10"/>
  <c r="B350" i="8"/>
  <c r="M59" i="7"/>
  <c r="S59" i="7" s="1"/>
  <c r="C59" i="9" s="1"/>
  <c r="H111" i="10"/>
  <c r="B322" i="8"/>
  <c r="M55" i="7"/>
  <c r="S55" i="7" s="1"/>
  <c r="C55" i="9" s="1"/>
  <c r="H103" i="10"/>
  <c r="B294" i="8"/>
  <c r="M51" i="7"/>
  <c r="S51" i="7" s="1"/>
  <c r="C51" i="9" s="1"/>
  <c r="H95" i="10"/>
  <c r="B266" i="8"/>
  <c r="M47" i="7"/>
  <c r="S47" i="7" s="1"/>
  <c r="C47" i="9" s="1"/>
  <c r="H87" i="10"/>
  <c r="B238" i="8"/>
  <c r="M43" i="7"/>
  <c r="S43" i="7" s="1"/>
  <c r="C43" i="9" s="1"/>
  <c r="M37" i="7"/>
  <c r="M33" i="7"/>
  <c r="M29" i="7"/>
  <c r="H51" i="10"/>
  <c r="B112" i="8"/>
  <c r="M25" i="7"/>
  <c r="S25" i="7" s="1"/>
  <c r="C25" i="9" s="1"/>
  <c r="G25" i="9" s="1"/>
  <c r="F25" i="9" s="1"/>
  <c r="E111" i="1"/>
  <c r="C217" i="10"/>
  <c r="G218" i="10" s="1"/>
  <c r="C218" i="10" s="1"/>
  <c r="B691" i="8"/>
  <c r="E691" i="8" s="1"/>
  <c r="E690" i="8" s="1"/>
  <c r="E107" i="1"/>
  <c r="C209" i="10"/>
  <c r="G210" i="10" s="1"/>
  <c r="C210" i="10" s="1"/>
  <c r="B663" i="8"/>
  <c r="E663" i="8" s="1"/>
  <c r="E662" i="8" s="1"/>
  <c r="E103" i="1"/>
  <c r="G103" i="1" s="1"/>
  <c r="C201" i="10"/>
  <c r="G202" i="10" s="1"/>
  <c r="C202" i="10" s="1"/>
  <c r="B635" i="8"/>
  <c r="E635" i="8" s="1"/>
  <c r="E634" i="8" s="1"/>
  <c r="E99" i="1"/>
  <c r="G99" i="1" s="1"/>
  <c r="C193" i="10"/>
  <c r="G194" i="10" s="1"/>
  <c r="C194" i="10" s="1"/>
  <c r="B607" i="8"/>
  <c r="E607" i="8" s="1"/>
  <c r="E606" i="8" s="1"/>
  <c r="E95" i="1"/>
  <c r="G95" i="1" s="1"/>
  <c r="C185" i="10"/>
  <c r="G186" i="10" s="1"/>
  <c r="C186" i="10" s="1"/>
  <c r="B579" i="8"/>
  <c r="E579" i="8" s="1"/>
  <c r="E578" i="8" s="1"/>
  <c r="E91" i="1"/>
  <c r="G91" i="1" s="1"/>
  <c r="C177" i="10"/>
  <c r="G178" i="10" s="1"/>
  <c r="C178" i="10" s="1"/>
  <c r="B551" i="8"/>
  <c r="E551" i="8" s="1"/>
  <c r="E550" i="8" s="1"/>
  <c r="E87" i="1"/>
  <c r="G87" i="1" s="1"/>
  <c r="C169" i="10"/>
  <c r="G170" i="10" s="1"/>
  <c r="C170" i="10" s="1"/>
  <c r="B523" i="8"/>
  <c r="E523" i="8" s="1"/>
  <c r="E522" i="8" s="1"/>
  <c r="E83" i="1"/>
  <c r="G83" i="1" s="1"/>
  <c r="C161" i="10"/>
  <c r="G162" i="10" s="1"/>
  <c r="C162" i="10" s="1"/>
  <c r="B495" i="8"/>
  <c r="E495" i="8" s="1"/>
  <c r="E494" i="8" s="1"/>
  <c r="E81" i="1"/>
  <c r="G81" i="1" s="1"/>
  <c r="C157" i="10"/>
  <c r="G158" i="10" s="1"/>
  <c r="C158" i="10" s="1"/>
  <c r="B481" i="8"/>
  <c r="E481" i="8" s="1"/>
  <c r="E480" i="8" s="1"/>
  <c r="E77" i="1"/>
  <c r="C149" i="10"/>
  <c r="G150" i="10" s="1"/>
  <c r="C150" i="10" s="1"/>
  <c r="B453" i="8"/>
  <c r="E453" i="8" s="1"/>
  <c r="E452" i="8" s="1"/>
  <c r="E73" i="1"/>
  <c r="G73" i="1" s="1"/>
  <c r="C141" i="10"/>
  <c r="G142" i="10" s="1"/>
  <c r="C142" i="10" s="1"/>
  <c r="B425" i="8"/>
  <c r="E425" i="8" s="1"/>
  <c r="E424" i="8" s="1"/>
  <c r="E69" i="1"/>
  <c r="C133" i="10"/>
  <c r="G134" i="10" s="1"/>
  <c r="C134" i="10" s="1"/>
  <c r="B397" i="8"/>
  <c r="E397" i="8" s="1"/>
  <c r="E396" i="8" s="1"/>
  <c r="E65" i="1"/>
  <c r="A65" i="1" s="1"/>
  <c r="C125" i="10"/>
  <c r="G126" i="10" s="1"/>
  <c r="C126" i="10" s="1"/>
  <c r="B369" i="8"/>
  <c r="E369" i="8" s="1"/>
  <c r="E368" i="8" s="1"/>
  <c r="E61" i="1"/>
  <c r="C117" i="10"/>
  <c r="G118" i="10" s="1"/>
  <c r="C118" i="10" s="1"/>
  <c r="B341" i="8"/>
  <c r="E341" i="8" s="1"/>
  <c r="E340" i="8" s="1"/>
  <c r="E57" i="1"/>
  <c r="A57" i="1" s="1"/>
  <c r="C109" i="10"/>
  <c r="G110" i="10" s="1"/>
  <c r="C110" i="10" s="1"/>
  <c r="B313" i="8"/>
  <c r="E313" i="8" s="1"/>
  <c r="E312" i="8" s="1"/>
  <c r="E53" i="1"/>
  <c r="C101" i="10"/>
  <c r="G102" i="10" s="1"/>
  <c r="C102" i="10" s="1"/>
  <c r="B285" i="8"/>
  <c r="E285" i="8" s="1"/>
  <c r="E284" i="8" s="1"/>
  <c r="E49" i="1"/>
  <c r="B49" i="1" s="1"/>
  <c r="C93" i="10"/>
  <c r="G94" i="10" s="1"/>
  <c r="C94" i="10" s="1"/>
  <c r="B257" i="8"/>
  <c r="E257" i="8" s="1"/>
  <c r="E256" i="8" s="1"/>
  <c r="E45" i="1"/>
  <c r="A45" i="1" s="1"/>
  <c r="C85" i="10"/>
  <c r="G86" i="10" s="1"/>
  <c r="C86" i="10" s="1"/>
  <c r="B229" i="8"/>
  <c r="E229" i="8" s="1"/>
  <c r="E228" i="8" s="1"/>
  <c r="E43" i="1"/>
  <c r="A43" i="1" s="1"/>
  <c r="C81" i="10"/>
  <c r="G82" i="10" s="1"/>
  <c r="C82" i="10" s="1"/>
  <c r="B215" i="8"/>
  <c r="E215" i="8" s="1"/>
  <c r="E214" i="8" s="1"/>
  <c r="E39" i="1"/>
  <c r="A39" i="1" s="1"/>
  <c r="E35" i="1"/>
  <c r="G35" i="1" s="1"/>
  <c r="E31" i="1"/>
  <c r="A31" i="1" s="1"/>
  <c r="E27" i="1"/>
  <c r="C49" i="10"/>
  <c r="G50" i="10" s="1"/>
  <c r="C50" i="10" s="1"/>
  <c r="B103" i="8"/>
  <c r="E103" i="8" s="1"/>
  <c r="E102" i="8" s="1"/>
  <c r="H221" i="10"/>
  <c r="S109" i="7"/>
  <c r="C109" i="9" s="1"/>
  <c r="H219" i="10"/>
  <c r="B700" i="8"/>
  <c r="S105" i="7"/>
  <c r="C105" i="9" s="1"/>
  <c r="H211" i="10"/>
  <c r="B672" i="8"/>
  <c r="S101" i="7"/>
  <c r="C101" i="9" s="1"/>
  <c r="H203" i="10"/>
  <c r="B644" i="8"/>
  <c r="S97" i="7"/>
  <c r="C97" i="9" s="1"/>
  <c r="H195" i="10"/>
  <c r="B616" i="8"/>
  <c r="M97" i="7"/>
  <c r="S93" i="7"/>
  <c r="C93" i="9" s="1"/>
  <c r="H187" i="10"/>
  <c r="B588" i="8"/>
  <c r="M93" i="7"/>
  <c r="S89" i="7"/>
  <c r="C89" i="9" s="1"/>
  <c r="H179" i="10"/>
  <c r="B560" i="8"/>
  <c r="M89" i="7"/>
  <c r="S85" i="7"/>
  <c r="C85" i="9" s="1"/>
  <c r="H171" i="10"/>
  <c r="B532" i="8"/>
  <c r="M85" i="7"/>
  <c r="S81" i="7"/>
  <c r="C81" i="9" s="1"/>
  <c r="H163" i="10"/>
  <c r="B504" i="8"/>
  <c r="M81" i="7"/>
  <c r="S77" i="7"/>
  <c r="C77" i="9" s="1"/>
  <c r="H155" i="10"/>
  <c r="B476" i="8"/>
  <c r="M77" i="7"/>
  <c r="S73" i="7"/>
  <c r="C73" i="9" s="1"/>
  <c r="H147" i="10"/>
  <c r="B448" i="8"/>
  <c r="M73" i="7"/>
  <c r="S69" i="7"/>
  <c r="C69" i="9" s="1"/>
  <c r="H139" i="10"/>
  <c r="B420" i="8"/>
  <c r="M69" i="7"/>
  <c r="S65" i="7"/>
  <c r="C65" i="9" s="1"/>
  <c r="H131" i="10"/>
  <c r="B392" i="8"/>
  <c r="M65" i="7"/>
  <c r="H123" i="10"/>
  <c r="B364" i="8"/>
  <c r="M61" i="7"/>
  <c r="S61" i="7" s="1"/>
  <c r="C61" i="9" s="1"/>
  <c r="H115" i="10"/>
  <c r="B336" i="8"/>
  <c r="M57" i="7"/>
  <c r="S57" i="7" s="1"/>
  <c r="C57" i="9" s="1"/>
  <c r="H107" i="10"/>
  <c r="B308" i="8"/>
  <c r="M53" i="7"/>
  <c r="S53" i="7" s="1"/>
  <c r="C53" i="9" s="1"/>
  <c r="H99" i="10"/>
  <c r="B280" i="8"/>
  <c r="M49" i="7"/>
  <c r="S49" i="7" s="1"/>
  <c r="C49" i="9" s="1"/>
  <c r="H91" i="10"/>
  <c r="B252" i="8"/>
  <c r="M45" i="7"/>
  <c r="S45" i="7" s="1"/>
  <c r="C45" i="9" s="1"/>
  <c r="H83" i="10"/>
  <c r="B224" i="8"/>
  <c r="M41" i="7"/>
  <c r="S41" i="7" s="1"/>
  <c r="C41" i="9" s="1"/>
  <c r="M39" i="7"/>
  <c r="M35" i="7"/>
  <c r="M31" i="7"/>
  <c r="M27" i="7"/>
  <c r="C219" i="10"/>
  <c r="G220" i="10" s="1"/>
  <c r="C220" i="10" s="1"/>
  <c r="B698" i="8"/>
  <c r="E698" i="8" s="1"/>
  <c r="E697" i="8" s="1"/>
  <c r="E112" i="1"/>
  <c r="C221" i="10"/>
  <c r="G222" i="10" s="1"/>
  <c r="C222" i="10" s="1"/>
  <c r="C215" i="10"/>
  <c r="G216" i="10" s="1"/>
  <c r="C216" i="10" s="1"/>
  <c r="B684" i="8"/>
  <c r="E684" i="8" s="1"/>
  <c r="E683" i="8" s="1"/>
  <c r="E110" i="1"/>
  <c r="C211" i="10"/>
  <c r="G212" i="10" s="1"/>
  <c r="C212" i="10" s="1"/>
  <c r="B670" i="8"/>
  <c r="E670" i="8" s="1"/>
  <c r="E669" i="8" s="1"/>
  <c r="E108" i="1"/>
  <c r="C207" i="10"/>
  <c r="G208" i="10" s="1"/>
  <c r="C208" i="10" s="1"/>
  <c r="B656" i="8"/>
  <c r="E656" i="8" s="1"/>
  <c r="E655" i="8" s="1"/>
  <c r="E106" i="1"/>
  <c r="C203" i="10"/>
  <c r="G204" i="10" s="1"/>
  <c r="C204" i="10" s="1"/>
  <c r="B642" i="8"/>
  <c r="E642" i="8" s="1"/>
  <c r="E641" i="8" s="1"/>
  <c r="E104" i="1"/>
  <c r="C199" i="10"/>
  <c r="G200" i="10" s="1"/>
  <c r="C200" i="10" s="1"/>
  <c r="B628" i="8"/>
  <c r="E628" i="8" s="1"/>
  <c r="E627" i="8" s="1"/>
  <c r="E102" i="1"/>
  <c r="C195" i="10"/>
  <c r="G196" i="10" s="1"/>
  <c r="C196" i="10" s="1"/>
  <c r="B614" i="8"/>
  <c r="E614" i="8" s="1"/>
  <c r="E613" i="8" s="1"/>
  <c r="E100" i="1"/>
  <c r="C191" i="10"/>
  <c r="G192" i="10" s="1"/>
  <c r="C192" i="10" s="1"/>
  <c r="B600" i="8"/>
  <c r="E600" i="8" s="1"/>
  <c r="E599" i="8" s="1"/>
  <c r="E98" i="1"/>
  <c r="C187" i="10"/>
  <c r="G188" i="10" s="1"/>
  <c r="C188" i="10" s="1"/>
  <c r="B586" i="8"/>
  <c r="E586" i="8" s="1"/>
  <c r="E585" i="8" s="1"/>
  <c r="E96" i="1"/>
  <c r="C183" i="10"/>
  <c r="G184" i="10" s="1"/>
  <c r="C184" i="10" s="1"/>
  <c r="B572" i="8"/>
  <c r="E572" i="8" s="1"/>
  <c r="E571" i="8" s="1"/>
  <c r="E94" i="1"/>
  <c r="C179" i="10"/>
  <c r="G180" i="10" s="1"/>
  <c r="C180" i="10" s="1"/>
  <c r="E92" i="1"/>
  <c r="B558" i="8"/>
  <c r="E558" i="8" s="1"/>
  <c r="E557" i="8" s="1"/>
  <c r="E90" i="1"/>
  <c r="C175" i="10"/>
  <c r="G176" i="10" s="1"/>
  <c r="C176" i="10" s="1"/>
  <c r="B544" i="8"/>
  <c r="E544" i="8" s="1"/>
  <c r="E543" i="8" s="1"/>
  <c r="C171" i="10"/>
  <c r="G172" i="10" s="1"/>
  <c r="C172" i="10" s="1"/>
  <c r="B530" i="8"/>
  <c r="E530" i="8" s="1"/>
  <c r="E529" i="8" s="1"/>
  <c r="E88" i="1"/>
  <c r="E86" i="1"/>
  <c r="C167" i="10"/>
  <c r="G168" i="10" s="1"/>
  <c r="C168" i="10" s="1"/>
  <c r="B516" i="8"/>
  <c r="E516" i="8" s="1"/>
  <c r="E515" i="8" s="1"/>
  <c r="C163" i="10"/>
  <c r="G164" i="10" s="1"/>
  <c r="C164" i="10" s="1"/>
  <c r="B502" i="8"/>
  <c r="E502" i="8" s="1"/>
  <c r="E501" i="8" s="1"/>
  <c r="E84" i="1"/>
  <c r="E82" i="1"/>
  <c r="C159" i="10"/>
  <c r="G160" i="10" s="1"/>
  <c r="C160" i="10" s="1"/>
  <c r="B488" i="8"/>
  <c r="E488" i="8" s="1"/>
  <c r="E487" i="8" s="1"/>
  <c r="C155" i="10"/>
  <c r="G156" i="10" s="1"/>
  <c r="C156" i="10" s="1"/>
  <c r="B474" i="8"/>
  <c r="E474" i="8" s="1"/>
  <c r="E473" i="8" s="1"/>
  <c r="E80" i="1"/>
  <c r="E78" i="1"/>
  <c r="C151" i="10"/>
  <c r="G152" i="10" s="1"/>
  <c r="C152" i="10" s="1"/>
  <c r="B460" i="8"/>
  <c r="E460" i="8" s="1"/>
  <c r="E459" i="8" s="1"/>
  <c r="C147" i="10"/>
  <c r="G148" i="10" s="1"/>
  <c r="C148" i="10" s="1"/>
  <c r="B446" i="8"/>
  <c r="E446" i="8" s="1"/>
  <c r="E445" i="8" s="1"/>
  <c r="E76" i="1"/>
  <c r="E74" i="1"/>
  <c r="C143" i="10"/>
  <c r="G144" i="10" s="1"/>
  <c r="C144" i="10" s="1"/>
  <c r="B432" i="8"/>
  <c r="E432" i="8" s="1"/>
  <c r="E431" i="8" s="1"/>
  <c r="C139" i="10"/>
  <c r="G140" i="10" s="1"/>
  <c r="C140" i="10" s="1"/>
  <c r="B418" i="8"/>
  <c r="E418" i="8" s="1"/>
  <c r="E417" i="8" s="1"/>
  <c r="E72" i="1"/>
  <c r="E70" i="1"/>
  <c r="C135" i="10"/>
  <c r="G136" i="10" s="1"/>
  <c r="C136" i="10" s="1"/>
  <c r="B404" i="8"/>
  <c r="E404" i="8" s="1"/>
  <c r="E403" i="8" s="1"/>
  <c r="C131" i="10"/>
  <c r="G132" i="10" s="1"/>
  <c r="C132" i="10" s="1"/>
  <c r="B390" i="8"/>
  <c r="E390" i="8" s="1"/>
  <c r="E389" i="8" s="1"/>
  <c r="E68" i="1"/>
  <c r="E66" i="1"/>
  <c r="C127" i="10"/>
  <c r="G128" i="10" s="1"/>
  <c r="C128" i="10" s="1"/>
  <c r="B376" i="8"/>
  <c r="E376" i="8" s="1"/>
  <c r="E375" i="8" s="1"/>
  <c r="C123" i="10"/>
  <c r="G124" i="10" s="1"/>
  <c r="C124" i="10" s="1"/>
  <c r="B362" i="8"/>
  <c r="E362" i="8" s="1"/>
  <c r="E361" i="8" s="1"/>
  <c r="E64" i="1"/>
  <c r="E62" i="1"/>
  <c r="B348" i="8"/>
  <c r="E348" i="8" s="1"/>
  <c r="E347" i="8" s="1"/>
  <c r="C119" i="10"/>
  <c r="G120" i="10" s="1"/>
  <c r="C120" i="10" s="1"/>
  <c r="B334" i="8"/>
  <c r="E334" i="8" s="1"/>
  <c r="E333" i="8" s="1"/>
  <c r="E60" i="1"/>
  <c r="C115" i="10"/>
  <c r="G116" i="10" s="1"/>
  <c r="C116" i="10" s="1"/>
  <c r="E58" i="1"/>
  <c r="B320" i="8"/>
  <c r="E320" i="8" s="1"/>
  <c r="E319" i="8" s="1"/>
  <c r="C111" i="10"/>
  <c r="G112" i="10" s="1"/>
  <c r="C112" i="10" s="1"/>
  <c r="B306" i="8"/>
  <c r="E306" i="8" s="1"/>
  <c r="E305" i="8" s="1"/>
  <c r="E56" i="1"/>
  <c r="C107" i="10"/>
  <c r="G108" i="10" s="1"/>
  <c r="C108" i="10" s="1"/>
  <c r="E54" i="1"/>
  <c r="B292" i="8"/>
  <c r="E292" i="8" s="1"/>
  <c r="E291" i="8" s="1"/>
  <c r="C103" i="10"/>
  <c r="G104" i="10" s="1"/>
  <c r="C104" i="10" s="1"/>
  <c r="B278" i="8"/>
  <c r="E278" i="8" s="1"/>
  <c r="E277" i="8" s="1"/>
  <c r="E52" i="1"/>
  <c r="C99" i="10"/>
  <c r="G100" i="10" s="1"/>
  <c r="C100" i="10" s="1"/>
  <c r="E50" i="1"/>
  <c r="B264" i="8"/>
  <c r="E264" i="8" s="1"/>
  <c r="E263" i="8" s="1"/>
  <c r="C95" i="10"/>
  <c r="G96" i="10" s="1"/>
  <c r="C96" i="10" s="1"/>
  <c r="B250" i="8"/>
  <c r="E250" i="8" s="1"/>
  <c r="E249" i="8" s="1"/>
  <c r="E48" i="1"/>
  <c r="C91" i="10"/>
  <c r="G92" i="10" s="1"/>
  <c r="C92" i="10" s="1"/>
  <c r="E46" i="1"/>
  <c r="B236" i="8"/>
  <c r="E236" i="8" s="1"/>
  <c r="E235" i="8" s="1"/>
  <c r="C87" i="10"/>
  <c r="G88" i="10" s="1"/>
  <c r="C88" i="10" s="1"/>
  <c r="B222" i="8"/>
  <c r="E222" i="8" s="1"/>
  <c r="E221" i="8" s="1"/>
  <c r="E44" i="1"/>
  <c r="C83" i="10"/>
  <c r="G84" i="10" s="1"/>
  <c r="C84" i="10" s="1"/>
  <c r="E42" i="1"/>
  <c r="E40" i="1"/>
  <c r="E38" i="1"/>
  <c r="E36" i="1"/>
  <c r="E34" i="1"/>
  <c r="E32" i="1"/>
  <c r="E30" i="1"/>
  <c r="B110" i="8"/>
  <c r="E110" i="8" s="1"/>
  <c r="E109" i="8" s="1"/>
  <c r="E28" i="1"/>
  <c r="C51" i="10"/>
  <c r="G52" i="10" s="1"/>
  <c r="C52" i="10" s="1"/>
  <c r="S108" i="7"/>
  <c r="C108" i="9" s="1"/>
  <c r="H217" i="10"/>
  <c r="B693" i="8"/>
  <c r="S106" i="7"/>
  <c r="C106" i="9" s="1"/>
  <c r="H213" i="10"/>
  <c r="B679" i="8"/>
  <c r="S104" i="7"/>
  <c r="C104" i="9" s="1"/>
  <c r="H209" i="10"/>
  <c r="B665" i="8"/>
  <c r="S102" i="7"/>
  <c r="C102" i="9" s="1"/>
  <c r="H205" i="10"/>
  <c r="B651" i="8"/>
  <c r="S100" i="7"/>
  <c r="C100" i="9" s="1"/>
  <c r="H201" i="10"/>
  <c r="B637" i="8"/>
  <c r="S98" i="7"/>
  <c r="C98" i="9" s="1"/>
  <c r="H197" i="10"/>
  <c r="B623" i="8"/>
  <c r="S96" i="7"/>
  <c r="C96" i="9" s="1"/>
  <c r="H193" i="10"/>
  <c r="B609" i="8"/>
  <c r="S94" i="7"/>
  <c r="C94" i="9" s="1"/>
  <c r="H189" i="10"/>
  <c r="B595" i="8"/>
  <c r="S92" i="7"/>
  <c r="C92" i="9" s="1"/>
  <c r="H185" i="10"/>
  <c r="B581" i="8"/>
  <c r="S90" i="7"/>
  <c r="C90" i="9" s="1"/>
  <c r="H181" i="10"/>
  <c r="B567" i="8"/>
  <c r="S88" i="7"/>
  <c r="C88" i="9" s="1"/>
  <c r="H177" i="10"/>
  <c r="B553" i="8"/>
  <c r="S86" i="7"/>
  <c r="C86" i="9" s="1"/>
  <c r="H173" i="10"/>
  <c r="B539" i="8"/>
  <c r="S84" i="7"/>
  <c r="C84" i="9" s="1"/>
  <c r="H169" i="10"/>
  <c r="B525" i="8"/>
  <c r="S82" i="7"/>
  <c r="C82" i="9" s="1"/>
  <c r="H165" i="10"/>
  <c r="B511" i="8"/>
  <c r="S80" i="7"/>
  <c r="C80" i="9" s="1"/>
  <c r="H161" i="10"/>
  <c r="B497" i="8"/>
  <c r="S78" i="7"/>
  <c r="C78" i="9" s="1"/>
  <c r="H157" i="10"/>
  <c r="B483" i="8"/>
  <c r="S76" i="7"/>
  <c r="C76" i="9" s="1"/>
  <c r="H153" i="10"/>
  <c r="B469" i="8"/>
  <c r="S74" i="7"/>
  <c r="C74" i="9" s="1"/>
  <c r="H149" i="10"/>
  <c r="B455" i="8"/>
  <c r="S72" i="7"/>
  <c r="C72" i="9" s="1"/>
  <c r="H145" i="10"/>
  <c r="B441" i="8"/>
  <c r="S70" i="7"/>
  <c r="C70" i="9" s="1"/>
  <c r="H141" i="10"/>
  <c r="B427" i="8"/>
  <c r="S68" i="7"/>
  <c r="C68" i="9" s="1"/>
  <c r="H137" i="10"/>
  <c r="B413" i="8"/>
  <c r="H133" i="10"/>
  <c r="B399" i="8"/>
  <c r="S64" i="7"/>
  <c r="C64" i="9" s="1"/>
  <c r="H129" i="10"/>
  <c r="B385" i="8"/>
  <c r="H125" i="10"/>
  <c r="B371" i="8"/>
  <c r="S60" i="7"/>
  <c r="C60" i="9" s="1"/>
  <c r="B357" i="8"/>
  <c r="H121" i="10"/>
  <c r="B343" i="8"/>
  <c r="H117" i="10"/>
  <c r="S56" i="7"/>
  <c r="C56" i="9" s="1"/>
  <c r="B329" i="8"/>
  <c r="H113" i="10"/>
  <c r="B315" i="8"/>
  <c r="H109" i="10"/>
  <c r="S52" i="7"/>
  <c r="C52" i="9" s="1"/>
  <c r="B301" i="8"/>
  <c r="H105" i="10"/>
  <c r="B287" i="8"/>
  <c r="H101" i="10"/>
  <c r="S48" i="7"/>
  <c r="C48" i="9" s="1"/>
  <c r="B273" i="8"/>
  <c r="H97" i="10"/>
  <c r="S46" i="7"/>
  <c r="C46" i="9" s="1"/>
  <c r="B259" i="8"/>
  <c r="H93" i="10"/>
  <c r="S44" i="7"/>
  <c r="C44" i="9" s="1"/>
  <c r="B245" i="8"/>
  <c r="H89" i="10"/>
  <c r="B231" i="8"/>
  <c r="H85" i="10"/>
  <c r="S40" i="7"/>
  <c r="C40" i="9" s="1"/>
  <c r="B217" i="8"/>
  <c r="H81" i="10"/>
  <c r="M26" i="7"/>
  <c r="S26" i="7" s="1"/>
  <c r="C26" i="9" s="1"/>
  <c r="G26" i="9" s="1"/>
  <c r="F26" i="9" s="1"/>
  <c r="B105" i="8"/>
  <c r="H49" i="10"/>
  <c r="L49" i="10" s="1"/>
  <c r="K49" i="10" s="1"/>
  <c r="L109" i="7"/>
  <c r="L107" i="7"/>
  <c r="L105" i="7"/>
  <c r="L103" i="7"/>
  <c r="L101" i="7"/>
  <c r="B643" i="8" s="1"/>
  <c r="D641" i="8" s="1"/>
  <c r="L99" i="7"/>
  <c r="B629" i="8" s="1"/>
  <c r="D627" i="8" s="1"/>
  <c r="L97" i="7"/>
  <c r="L95" i="7"/>
  <c r="L93" i="7"/>
  <c r="L91" i="7"/>
  <c r="L89" i="7"/>
  <c r="L87" i="7"/>
  <c r="L85" i="7"/>
  <c r="L83" i="7"/>
  <c r="L81" i="7"/>
  <c r="L79" i="7"/>
  <c r="L77" i="7"/>
  <c r="L75" i="7"/>
  <c r="L73" i="7"/>
  <c r="B447" i="8" s="1"/>
  <c r="D446" i="8" s="1"/>
  <c r="L71" i="7"/>
  <c r="L69" i="7"/>
  <c r="B419" i="8" s="1"/>
  <c r="D418" i="8" s="1"/>
  <c r="L67" i="7"/>
  <c r="L65" i="7"/>
  <c r="B391" i="8" s="1"/>
  <c r="D390" i="8" s="1"/>
  <c r="L63" i="7"/>
  <c r="B377" i="8" s="1"/>
  <c r="D376" i="8" s="1"/>
  <c r="L61" i="7"/>
  <c r="B363" i="8" s="1"/>
  <c r="D362" i="8" s="1"/>
  <c r="L59" i="7"/>
  <c r="B349" i="8" s="1"/>
  <c r="D347" i="8" s="1"/>
  <c r="L57" i="7"/>
  <c r="L55" i="7"/>
  <c r="L53" i="7"/>
  <c r="L51" i="7"/>
  <c r="L49" i="7"/>
  <c r="L47" i="7"/>
  <c r="L45" i="7"/>
  <c r="L43" i="7"/>
  <c r="L41" i="7"/>
  <c r="L25" i="7"/>
  <c r="M109" i="7"/>
  <c r="M107" i="7"/>
  <c r="M105" i="7"/>
  <c r="M103" i="7"/>
  <c r="M101" i="7"/>
  <c r="M98" i="7"/>
  <c r="M94" i="7"/>
  <c r="M90" i="7"/>
  <c r="M86" i="7"/>
  <c r="M82" i="7"/>
  <c r="M78" i="7"/>
  <c r="M74" i="7"/>
  <c r="M70" i="7"/>
  <c r="M66" i="7"/>
  <c r="S66" i="7" s="1"/>
  <c r="C66" i="9" s="1"/>
  <c r="M62" i="7"/>
  <c r="S62" i="7" s="1"/>
  <c r="C62" i="9" s="1"/>
  <c r="M58" i="7"/>
  <c r="S58" i="7" s="1"/>
  <c r="C58" i="9" s="1"/>
  <c r="M54" i="7"/>
  <c r="S54" i="7" s="1"/>
  <c r="C54" i="9" s="1"/>
  <c r="M50" i="7"/>
  <c r="S50" i="7" s="1"/>
  <c r="C50" i="9" s="1"/>
  <c r="M46" i="7"/>
  <c r="M42" i="7"/>
  <c r="S42" i="7" s="1"/>
  <c r="C42" i="9" s="1"/>
  <c r="M24" i="7"/>
  <c r="S24" i="7" s="1"/>
  <c r="C24" i="9" s="1"/>
  <c r="G24" i="9" s="1"/>
  <c r="F24" i="9" s="1"/>
  <c r="C45" i="10"/>
  <c r="G46" i="10" s="1"/>
  <c r="C46" i="10" s="1"/>
  <c r="E25" i="1"/>
  <c r="B89" i="8"/>
  <c r="E89" i="8" s="1"/>
  <c r="E88" i="8" s="1"/>
  <c r="C41" i="10"/>
  <c r="G42" i="10" s="1"/>
  <c r="C42" i="10" s="1"/>
  <c r="E23" i="1"/>
  <c r="A23" i="1" s="1"/>
  <c r="B75" i="8"/>
  <c r="E75" i="8" s="1"/>
  <c r="E74" i="8" s="1"/>
  <c r="E21" i="1"/>
  <c r="E19" i="1"/>
  <c r="C33" i="10"/>
  <c r="G34" i="10" s="1"/>
  <c r="C34" i="10" s="1"/>
  <c r="B47" i="8"/>
  <c r="E47" i="8" s="1"/>
  <c r="E46" i="8" s="1"/>
  <c r="E17" i="1"/>
  <c r="C29" i="10"/>
  <c r="G30" i="10" s="1"/>
  <c r="C30" i="10" s="1"/>
  <c r="B33" i="8"/>
  <c r="E33" i="8" s="1"/>
  <c r="E32" i="8" s="1"/>
  <c r="E15" i="1"/>
  <c r="C25" i="10"/>
  <c r="G26" i="10" s="1"/>
  <c r="C26" i="10" s="1"/>
  <c r="B19" i="8"/>
  <c r="E19" i="8" s="1"/>
  <c r="E18" i="8" s="1"/>
  <c r="H47" i="10"/>
  <c r="B98" i="8"/>
  <c r="H43" i="10"/>
  <c r="B84" i="8"/>
  <c r="H39" i="10"/>
  <c r="B70" i="8"/>
  <c r="H35" i="10"/>
  <c r="B56" i="8"/>
  <c r="H31" i="10"/>
  <c r="B42" i="8"/>
  <c r="H27" i="10"/>
  <c r="B28" i="8"/>
  <c r="B9" i="12"/>
  <c r="H23" i="10"/>
  <c r="B14" i="8"/>
  <c r="L22" i="7"/>
  <c r="B90" i="8" s="1"/>
  <c r="D88" i="8" s="1"/>
  <c r="L20" i="7"/>
  <c r="B76" i="8" s="1"/>
  <c r="D74" i="8" s="1"/>
  <c r="L17" i="7"/>
  <c r="L15" i="7"/>
  <c r="B41" i="8" s="1"/>
  <c r="D40" i="8" s="1"/>
  <c r="L13" i="7"/>
  <c r="B27" i="8" s="1"/>
  <c r="D26" i="8" s="1"/>
  <c r="L11" i="7"/>
  <c r="B13" i="8" s="1"/>
  <c r="D12" i="8" s="1"/>
  <c r="M17" i="7"/>
  <c r="S17" i="7" s="1"/>
  <c r="C17" i="9" s="1"/>
  <c r="G17" i="9" s="1"/>
  <c r="F17" i="9" s="1"/>
  <c r="M15" i="7"/>
  <c r="S15" i="7" s="1"/>
  <c r="C15" i="9" s="1"/>
  <c r="G15" i="9" s="1"/>
  <c r="F15" i="9" s="1"/>
  <c r="M13" i="7"/>
  <c r="S13" i="7" s="1"/>
  <c r="C13" i="9" s="1"/>
  <c r="G13" i="9" s="1"/>
  <c r="F13" i="9" s="1"/>
  <c r="M11" i="7"/>
  <c r="S11" i="7" s="1"/>
  <c r="C11" i="9" s="1"/>
  <c r="G11" i="9" s="1"/>
  <c r="F11" i="9" s="1"/>
  <c r="E26" i="1"/>
  <c r="A26" i="1" s="1"/>
  <c r="B96" i="8"/>
  <c r="E96" i="8" s="1"/>
  <c r="E95" i="8" s="1"/>
  <c r="C47" i="10"/>
  <c r="G48" i="10" s="1"/>
  <c r="C48" i="10" s="1"/>
  <c r="E24" i="1"/>
  <c r="A24" i="1" s="1"/>
  <c r="B82" i="8"/>
  <c r="E82" i="8" s="1"/>
  <c r="E81" i="8" s="1"/>
  <c r="C43" i="10"/>
  <c r="G44" i="10" s="1"/>
  <c r="C44" i="10" s="1"/>
  <c r="E22" i="1"/>
  <c r="A22" i="1" s="1"/>
  <c r="C39" i="10"/>
  <c r="G40" i="10" s="1"/>
  <c r="C40" i="10" s="1"/>
  <c r="B68" i="8"/>
  <c r="E68" i="8" s="1"/>
  <c r="E67" i="8" s="1"/>
  <c r="E20" i="1"/>
  <c r="C35" i="10"/>
  <c r="G36" i="10" s="1"/>
  <c r="C36" i="10" s="1"/>
  <c r="B54" i="8"/>
  <c r="E54" i="8" s="1"/>
  <c r="E53" i="8" s="1"/>
  <c r="E18" i="1"/>
  <c r="A18" i="1" s="1"/>
  <c r="C31" i="10"/>
  <c r="G32" i="10" s="1"/>
  <c r="C32" i="10" s="1"/>
  <c r="B40" i="8"/>
  <c r="E40" i="8" s="1"/>
  <c r="E39" i="8" s="1"/>
  <c r="E16" i="1"/>
  <c r="A16" i="1" s="1"/>
  <c r="C27" i="10"/>
  <c r="G28" i="10" s="1"/>
  <c r="C28" i="10" s="1"/>
  <c r="B26" i="8"/>
  <c r="E26" i="8" s="1"/>
  <c r="E25" i="8" s="1"/>
  <c r="C9" i="12"/>
  <c r="C23" i="10"/>
  <c r="G24" i="10" s="1"/>
  <c r="C24" i="10" s="1"/>
  <c r="B12" i="8"/>
  <c r="E12" i="8" s="1"/>
  <c r="E11" i="8" s="1"/>
  <c r="E14" i="1"/>
  <c r="G14" i="1" s="1"/>
  <c r="L14" i="1" s="1"/>
  <c r="K14" i="1" s="1"/>
  <c r="H45" i="10"/>
  <c r="B91" i="8"/>
  <c r="S22" i="7"/>
  <c r="C22" i="9" s="1"/>
  <c r="G22" i="9" s="1"/>
  <c r="F22" i="9" s="1"/>
  <c r="H41" i="10"/>
  <c r="B77" i="8"/>
  <c r="S20" i="7"/>
  <c r="C20" i="9" s="1"/>
  <c r="G20" i="9" s="1"/>
  <c r="F20" i="9" s="1"/>
  <c r="M18" i="7"/>
  <c r="S18" i="7" s="1"/>
  <c r="C18" i="9" s="1"/>
  <c r="G18" i="9" s="1"/>
  <c r="F18" i="9" s="1"/>
  <c r="B49" i="8"/>
  <c r="H33" i="10"/>
  <c r="B35" i="8"/>
  <c r="H29" i="10"/>
  <c r="B21" i="8"/>
  <c r="H25" i="10"/>
  <c r="L23" i="7"/>
  <c r="B97" i="8" s="1"/>
  <c r="L21" i="7"/>
  <c r="B83" i="8" s="1"/>
  <c r="D81" i="8" s="1"/>
  <c r="L19" i="7"/>
  <c r="B69" i="8" s="1"/>
  <c r="L16" i="7"/>
  <c r="B48" i="8" s="1"/>
  <c r="D47" i="8" s="1"/>
  <c r="L14" i="7"/>
  <c r="B34" i="8" s="1"/>
  <c r="D33" i="8" s="1"/>
  <c r="L12" i="7"/>
  <c r="B20" i="8" s="1"/>
  <c r="D19" i="8" s="1"/>
  <c r="M23" i="7"/>
  <c r="S23" i="7" s="1"/>
  <c r="C23" i="9" s="1"/>
  <c r="G23" i="9" s="1"/>
  <c r="F23" i="9" s="1"/>
  <c r="M21" i="7"/>
  <c r="S21" i="7" s="1"/>
  <c r="C21" i="9" s="1"/>
  <c r="G21" i="9" s="1"/>
  <c r="F21" i="9" s="1"/>
  <c r="M19" i="7"/>
  <c r="S19" i="7" s="1"/>
  <c r="C19" i="9" s="1"/>
  <c r="G19" i="9" s="1"/>
  <c r="F19" i="9" s="1"/>
  <c r="M16" i="7"/>
  <c r="S16" i="7" s="1"/>
  <c r="C16" i="9" s="1"/>
  <c r="G16" i="9" s="1"/>
  <c r="F16" i="9" s="1"/>
  <c r="M14" i="7"/>
  <c r="S14" i="7" s="1"/>
  <c r="C14" i="9" s="1"/>
  <c r="G14" i="9" s="1"/>
  <c r="F14" i="9" s="1"/>
  <c r="M12" i="7"/>
  <c r="S12" i="7" s="1"/>
  <c r="C12" i="9" s="1"/>
  <c r="G12" i="9" s="1"/>
  <c r="F12" i="9" s="1"/>
  <c r="B117" i="8"/>
  <c r="E117" i="8" s="1"/>
  <c r="E116" i="8" s="1"/>
  <c r="C53" i="10"/>
  <c r="G54" i="10" s="1"/>
  <c r="C54" i="10" s="1"/>
  <c r="H53" i="10"/>
  <c r="B119" i="8"/>
  <c r="L26" i="7"/>
  <c r="B118" i="8" s="1"/>
  <c r="D116" i="8" s="1"/>
  <c r="B208" i="8"/>
  <c r="E208" i="8" s="1"/>
  <c r="E207" i="8" s="1"/>
  <c r="C79" i="10"/>
  <c r="G80" i="10" s="1"/>
  <c r="C80" i="10" s="1"/>
  <c r="B194" i="8"/>
  <c r="E194" i="8" s="1"/>
  <c r="E193" i="8" s="1"/>
  <c r="C75" i="10"/>
  <c r="G76" i="10" s="1"/>
  <c r="C76" i="10" s="1"/>
  <c r="B180" i="8"/>
  <c r="E180" i="8" s="1"/>
  <c r="E179" i="8" s="1"/>
  <c r="C71" i="10"/>
  <c r="G72" i="10" s="1"/>
  <c r="C72" i="10" s="1"/>
  <c r="C67" i="10"/>
  <c r="G68" i="10" s="1"/>
  <c r="C68" i="10" s="1"/>
  <c r="B166" i="8"/>
  <c r="E166" i="8" s="1"/>
  <c r="E165" i="8" s="1"/>
  <c r="B152" i="8"/>
  <c r="E152" i="8" s="1"/>
  <c r="E151" i="8" s="1"/>
  <c r="C63" i="10"/>
  <c r="G64" i="10" s="1"/>
  <c r="C64" i="10" s="1"/>
  <c r="B138" i="8"/>
  <c r="E138" i="8" s="1"/>
  <c r="E137" i="8" s="1"/>
  <c r="C59" i="10"/>
  <c r="G60" i="10" s="1"/>
  <c r="C60" i="10" s="1"/>
  <c r="B124" i="8"/>
  <c r="E124" i="8" s="1"/>
  <c r="E123" i="8" s="1"/>
  <c r="C55" i="10"/>
  <c r="G56" i="10" s="1"/>
  <c r="C56" i="10" s="1"/>
  <c r="H77" i="10"/>
  <c r="B203" i="8"/>
  <c r="H73" i="10"/>
  <c r="B189" i="8"/>
  <c r="H69" i="10"/>
  <c r="B175" i="8"/>
  <c r="H65" i="10"/>
  <c r="B161" i="8"/>
  <c r="H61" i="10"/>
  <c r="B147" i="8"/>
  <c r="H57" i="10"/>
  <c r="B133" i="8"/>
  <c r="L39" i="7"/>
  <c r="B209" i="8" s="1"/>
  <c r="L37" i="7"/>
  <c r="B195" i="8" s="1"/>
  <c r="D193" i="8" s="1"/>
  <c r="L35" i="7"/>
  <c r="B181" i="8" s="1"/>
  <c r="D180" i="8" s="1"/>
  <c r="L33" i="7"/>
  <c r="B167" i="8" s="1"/>
  <c r="L31" i="7"/>
  <c r="L29" i="7"/>
  <c r="B139" i="8" s="1"/>
  <c r="D137" i="8" s="1"/>
  <c r="L27" i="7"/>
  <c r="B125" i="8" s="1"/>
  <c r="D124" i="8" s="1"/>
  <c r="C77" i="10"/>
  <c r="G78" i="10" s="1"/>
  <c r="C78" i="10" s="1"/>
  <c r="B201" i="8"/>
  <c r="E201" i="8" s="1"/>
  <c r="E200" i="8" s="1"/>
  <c r="C73" i="10"/>
  <c r="G74" i="10" s="1"/>
  <c r="C74" i="10" s="1"/>
  <c r="B187" i="8"/>
  <c r="E187" i="8" s="1"/>
  <c r="E186" i="8" s="1"/>
  <c r="C69" i="10"/>
  <c r="G70" i="10" s="1"/>
  <c r="C70" i="10" s="1"/>
  <c r="B173" i="8"/>
  <c r="E173" i="8" s="1"/>
  <c r="E172" i="8" s="1"/>
  <c r="C65" i="10"/>
  <c r="G66" i="10" s="1"/>
  <c r="C66" i="10" s="1"/>
  <c r="B159" i="8"/>
  <c r="E159" i="8" s="1"/>
  <c r="E158" i="8" s="1"/>
  <c r="C61" i="10"/>
  <c r="G62" i="10" s="1"/>
  <c r="C62" i="10" s="1"/>
  <c r="B145" i="8"/>
  <c r="E145" i="8" s="1"/>
  <c r="E144" i="8" s="1"/>
  <c r="C57" i="10"/>
  <c r="G58" i="10" s="1"/>
  <c r="C58" i="10" s="1"/>
  <c r="B131" i="8"/>
  <c r="E131" i="8" s="1"/>
  <c r="E130" i="8" s="1"/>
  <c r="S39" i="7"/>
  <c r="C39" i="9" s="1"/>
  <c r="H79" i="10"/>
  <c r="B210" i="8"/>
  <c r="S37" i="7"/>
  <c r="C37" i="9" s="1"/>
  <c r="H75" i="10"/>
  <c r="B196" i="8"/>
  <c r="S35" i="7"/>
  <c r="C35" i="9" s="1"/>
  <c r="H71" i="10"/>
  <c r="B182" i="8"/>
  <c r="S33" i="7"/>
  <c r="C33" i="9" s="1"/>
  <c r="H67" i="10"/>
  <c r="B168" i="8"/>
  <c r="S31" i="7"/>
  <c r="C31" i="9" s="1"/>
  <c r="H63" i="10"/>
  <c r="B154" i="8"/>
  <c r="S29" i="7"/>
  <c r="C29" i="9" s="1"/>
  <c r="H59" i="10"/>
  <c r="B140" i="8"/>
  <c r="S27" i="7"/>
  <c r="C27" i="9" s="1"/>
  <c r="G27" i="9" s="1"/>
  <c r="F27" i="9" s="1"/>
  <c r="H55" i="10"/>
  <c r="B126" i="8"/>
  <c r="L38" i="7"/>
  <c r="B202" i="8" s="1"/>
  <c r="D200" i="8" s="1"/>
  <c r="L36" i="7"/>
  <c r="B188" i="8" s="1"/>
  <c r="D187" i="8" s="1"/>
  <c r="L34" i="7"/>
  <c r="B174" i="8" s="1"/>
  <c r="D172" i="8" s="1"/>
  <c r="L32" i="7"/>
  <c r="B160" i="8" s="1"/>
  <c r="D158" i="8" s="1"/>
  <c r="L30" i="7"/>
  <c r="B146" i="8" s="1"/>
  <c r="D145" i="8" s="1"/>
  <c r="L28" i="7"/>
  <c r="B132" i="8" s="1"/>
  <c r="D130" i="8" s="1"/>
  <c r="M38" i="7"/>
  <c r="S38" i="7" s="1"/>
  <c r="C38" i="9" s="1"/>
  <c r="M36" i="7"/>
  <c r="S36" i="7" s="1"/>
  <c r="C36" i="9" s="1"/>
  <c r="M34" i="7"/>
  <c r="S34" i="7" s="1"/>
  <c r="C34" i="9" s="1"/>
  <c r="M32" i="7"/>
  <c r="S32" i="7" s="1"/>
  <c r="C32" i="9" s="1"/>
  <c r="M30" i="7"/>
  <c r="S30" i="7" s="1"/>
  <c r="C30" i="9" s="1"/>
  <c r="M28" i="7"/>
  <c r="S28" i="7" s="1"/>
  <c r="C28" i="9" s="1"/>
  <c r="C37" i="10"/>
  <c r="G38" i="10" s="1"/>
  <c r="C38" i="10" s="1"/>
  <c r="B61" i="8"/>
  <c r="E61" i="8" s="1"/>
  <c r="E60" i="8" s="1"/>
  <c r="H37" i="10"/>
  <c r="B63" i="8"/>
  <c r="L18" i="7"/>
  <c r="B62" i="8" s="1"/>
  <c r="B178" i="10"/>
  <c r="B190" i="10"/>
  <c r="B210" i="10"/>
  <c r="B118" i="10"/>
  <c r="B122" i="10"/>
  <c r="B150" i="10"/>
  <c r="B154" i="10"/>
  <c r="B100" i="10"/>
  <c r="B116" i="10"/>
  <c r="B90" i="10"/>
  <c r="B22" i="10"/>
  <c r="D224" i="10"/>
  <c r="L224" i="10" s="1"/>
  <c r="K224" i="10" s="1"/>
  <c r="B692" i="8"/>
  <c r="D690" i="8" s="1"/>
  <c r="B678" i="8"/>
  <c r="D676" i="8" s="1"/>
  <c r="B664" i="8"/>
  <c r="D662" i="8" s="1"/>
  <c r="B650" i="8"/>
  <c r="D648" i="8" s="1"/>
  <c r="B636" i="8"/>
  <c r="D634" i="8" s="1"/>
  <c r="B622" i="8"/>
  <c r="D620" i="8" s="1"/>
  <c r="B608" i="8"/>
  <c r="D606" i="8" s="1"/>
  <c r="B594" i="8"/>
  <c r="D592" i="8" s="1"/>
  <c r="B580" i="8"/>
  <c r="D578" i="8" s="1"/>
  <c r="B566" i="8"/>
  <c r="D564" i="8" s="1"/>
  <c r="B552" i="8"/>
  <c r="D550" i="8" s="1"/>
  <c r="B538" i="8"/>
  <c r="D536" i="8" s="1"/>
  <c r="B524" i="8"/>
  <c r="D522" i="8" s="1"/>
  <c r="B510" i="8"/>
  <c r="D508" i="8" s="1"/>
  <c r="B496" i="8"/>
  <c r="D494" i="8" s="1"/>
  <c r="B454" i="8"/>
  <c r="D453" i="8" s="1"/>
  <c r="B440" i="8"/>
  <c r="D439" i="8" s="1"/>
  <c r="B426" i="8"/>
  <c r="D425" i="8" s="1"/>
  <c r="B412" i="8"/>
  <c r="D411" i="8" s="1"/>
  <c r="B398" i="8"/>
  <c r="D397" i="8" s="1"/>
  <c r="B384" i="8"/>
  <c r="D382" i="8" s="1"/>
  <c r="B370" i="8"/>
  <c r="D368" i="8" s="1"/>
  <c r="B356" i="8"/>
  <c r="D354" i="8" s="1"/>
  <c r="B342" i="8"/>
  <c r="D340" i="8" s="1"/>
  <c r="B328" i="8"/>
  <c r="D326" i="8" s="1"/>
  <c r="B699" i="8"/>
  <c r="D697" i="8" s="1"/>
  <c r="B685" i="8"/>
  <c r="D683" i="8" s="1"/>
  <c r="B671" i="8"/>
  <c r="D669" i="8" s="1"/>
  <c r="B657" i="8"/>
  <c r="D655" i="8" s="1"/>
  <c r="B615" i="8"/>
  <c r="D613" i="8" s="1"/>
  <c r="B601" i="8"/>
  <c r="D599" i="8" s="1"/>
  <c r="B587" i="8"/>
  <c r="D585" i="8" s="1"/>
  <c r="B573" i="8"/>
  <c r="D571" i="8" s="1"/>
  <c r="B559" i="8"/>
  <c r="D557" i="8" s="1"/>
  <c r="B545" i="8"/>
  <c r="D543" i="8" s="1"/>
  <c r="B531" i="8"/>
  <c r="D529" i="8" s="1"/>
  <c r="B517" i="8"/>
  <c r="D515" i="8" s="1"/>
  <c r="B503" i="8"/>
  <c r="D501" i="8" s="1"/>
  <c r="B489" i="8"/>
  <c r="D487" i="8" s="1"/>
  <c r="B475" i="8"/>
  <c r="D473" i="8" s="1"/>
  <c r="B461" i="8"/>
  <c r="D459" i="8" s="1"/>
  <c r="B433" i="8"/>
  <c r="D432" i="8" s="1"/>
  <c r="B405" i="8"/>
  <c r="D403" i="8" s="1"/>
  <c r="B335" i="8"/>
  <c r="D333" i="8" s="1"/>
  <c r="B321" i="8"/>
  <c r="D319" i="8" s="1"/>
  <c r="B307" i="8"/>
  <c r="D305" i="8" s="1"/>
  <c r="B293" i="8"/>
  <c r="D291" i="8" s="1"/>
  <c r="B279" i="8"/>
  <c r="D277" i="8" s="1"/>
  <c r="B265" i="8"/>
  <c r="B251" i="8"/>
  <c r="D249" i="8" s="1"/>
  <c r="B237" i="8"/>
  <c r="D235" i="8" s="1"/>
  <c r="B223" i="8"/>
  <c r="B153" i="8"/>
  <c r="B111" i="8"/>
  <c r="B55" i="8"/>
  <c r="D466" i="8"/>
  <c r="D467" i="8"/>
  <c r="D298" i="8"/>
  <c r="D299" i="8"/>
  <c r="D271" i="8"/>
  <c r="D270" i="8"/>
  <c r="D243" i="8"/>
  <c r="D242" i="8"/>
  <c r="D103" i="8"/>
  <c r="D102" i="8"/>
  <c r="B29" i="1"/>
  <c r="B103" i="1"/>
  <c r="A103" i="1"/>
  <c r="B99" i="1"/>
  <c r="A99" i="1"/>
  <c r="B95" i="1"/>
  <c r="A95" i="1"/>
  <c r="A89" i="1"/>
  <c r="A85" i="1"/>
  <c r="B79" i="1"/>
  <c r="A79" i="1"/>
  <c r="B75" i="1"/>
  <c r="A75" i="1"/>
  <c r="B71" i="1"/>
  <c r="A71" i="1"/>
  <c r="B67" i="1"/>
  <c r="A67" i="1"/>
  <c r="A61" i="1"/>
  <c r="A49" i="1"/>
  <c r="L41" i="1"/>
  <c r="K41" i="1" s="1"/>
  <c r="A41" i="1"/>
  <c r="A37" i="1"/>
  <c r="A109" i="1"/>
  <c r="A105" i="1"/>
  <c r="A101" i="1"/>
  <c r="A97" i="1"/>
  <c r="A93" i="1"/>
  <c r="B91" i="1"/>
  <c r="A91" i="1"/>
  <c r="B87" i="1"/>
  <c r="A87" i="1"/>
  <c r="B83" i="1"/>
  <c r="A83" i="1"/>
  <c r="A81" i="1"/>
  <c r="A77" i="1"/>
  <c r="A73" i="1"/>
  <c r="A69" i="1"/>
  <c r="B63" i="1"/>
  <c r="A63" i="1"/>
  <c r="B59" i="1"/>
  <c r="A59" i="1"/>
  <c r="B55" i="1"/>
  <c r="A55" i="1"/>
  <c r="A53" i="1"/>
  <c r="B51" i="1"/>
  <c r="A51" i="1"/>
  <c r="B47" i="1"/>
  <c r="A47" i="1"/>
  <c r="B43" i="1"/>
  <c r="B39" i="1"/>
  <c r="B35" i="1"/>
  <c r="A27" i="1"/>
  <c r="B111" i="1"/>
  <c r="B109" i="1"/>
  <c r="B107" i="1"/>
  <c r="B105" i="1"/>
  <c r="B97" i="1"/>
  <c r="B89" i="1"/>
  <c r="B81" i="1"/>
  <c r="B73" i="1"/>
  <c r="B65" i="1"/>
  <c r="B57" i="1"/>
  <c r="B41" i="1"/>
  <c r="B33" i="1"/>
  <c r="B17" i="1"/>
  <c r="L35" i="1"/>
  <c r="K35" i="1" s="1"/>
  <c r="B104" i="1"/>
  <c r="B102" i="1"/>
  <c r="B100" i="1"/>
  <c r="B98" i="1"/>
  <c r="B96" i="1"/>
  <c r="B94" i="1"/>
  <c r="B92" i="1"/>
  <c r="B90" i="1"/>
  <c r="B88" i="1"/>
  <c r="B86" i="1"/>
  <c r="B84" i="1"/>
  <c r="B82" i="1"/>
  <c r="B80" i="1"/>
  <c r="B78" i="1"/>
  <c r="B76" i="1"/>
  <c r="B74" i="1"/>
  <c r="B72" i="1"/>
  <c r="B70" i="1"/>
  <c r="B68" i="1"/>
  <c r="B66" i="1"/>
  <c r="B64" i="1"/>
  <c r="B62" i="1"/>
  <c r="B60" i="1"/>
  <c r="B58" i="1"/>
  <c r="B56" i="1"/>
  <c r="B54" i="1"/>
  <c r="B52" i="1"/>
  <c r="B50" i="1"/>
  <c r="B48" i="1"/>
  <c r="B46" i="1"/>
  <c r="B44" i="1"/>
  <c r="B42" i="1"/>
  <c r="B40" i="1"/>
  <c r="B38" i="1"/>
  <c r="B36" i="1"/>
  <c r="B34" i="1"/>
  <c r="A32" i="1"/>
  <c r="A30" i="1"/>
  <c r="A28" i="1"/>
  <c r="A20" i="1"/>
  <c r="B198" i="10" l="1"/>
  <c r="D5" i="8"/>
  <c r="I5" i="8" s="1"/>
  <c r="H5" i="8" s="1"/>
  <c r="B166" i="10"/>
  <c r="B194" i="10"/>
  <c r="A14" i="1"/>
  <c r="B84" i="10"/>
  <c r="D214" i="8"/>
  <c r="B1" i="1"/>
  <c r="B138" i="10"/>
  <c r="B174" i="10"/>
  <c r="A19" i="1"/>
  <c r="B162" i="10"/>
  <c r="B134" i="10"/>
  <c r="B176" i="10"/>
  <c r="B42" i="10"/>
  <c r="B214" i="10"/>
  <c r="B110" i="10"/>
  <c r="B146" i="10"/>
  <c r="D229" i="8"/>
  <c r="D256" i="8"/>
  <c r="D284" i="8"/>
  <c r="D312" i="8"/>
  <c r="D481" i="8"/>
  <c r="B92" i="10"/>
  <c r="B106" i="10"/>
  <c r="B160" i="10"/>
  <c r="B144" i="10"/>
  <c r="B128" i="10"/>
  <c r="B222" i="10"/>
  <c r="B206" i="10"/>
  <c r="B182" i="10"/>
  <c r="D348" i="8"/>
  <c r="B108" i="10"/>
  <c r="B102" i="10"/>
  <c r="B142" i="10"/>
  <c r="B220" i="10"/>
  <c r="J16" i="12"/>
  <c r="I16" i="12" s="1"/>
  <c r="D16" i="12"/>
  <c r="J24" i="12"/>
  <c r="I24" i="12" s="1"/>
  <c r="D24" i="12"/>
  <c r="J15" i="12"/>
  <c r="I15" i="12" s="1"/>
  <c r="D15" i="12"/>
  <c r="J17" i="12"/>
  <c r="I17" i="12" s="1"/>
  <c r="D17" i="12"/>
  <c r="J19" i="12"/>
  <c r="I19" i="12" s="1"/>
  <c r="D19" i="12"/>
  <c r="J21" i="12"/>
  <c r="I21" i="12" s="1"/>
  <c r="D21" i="12"/>
  <c r="J23" i="12"/>
  <c r="I23" i="12" s="1"/>
  <c r="D23" i="12"/>
  <c r="J25" i="12"/>
  <c r="I25" i="12" s="1"/>
  <c r="D25" i="12"/>
  <c r="J27" i="12"/>
  <c r="I27" i="12" s="1"/>
  <c r="D27" i="12"/>
  <c r="J29" i="12"/>
  <c r="I29" i="12" s="1"/>
  <c r="D29" i="12"/>
  <c r="J31" i="12"/>
  <c r="I31" i="12" s="1"/>
  <c r="D31" i="12"/>
  <c r="J33" i="12"/>
  <c r="I33" i="12" s="1"/>
  <c r="D33" i="12"/>
  <c r="J35" i="12"/>
  <c r="I35" i="12" s="1"/>
  <c r="D35" i="12"/>
  <c r="J37" i="12"/>
  <c r="I37" i="12" s="1"/>
  <c r="D37" i="12"/>
  <c r="J39" i="12"/>
  <c r="I39" i="12" s="1"/>
  <c r="D39" i="12"/>
  <c r="J41" i="12"/>
  <c r="I41" i="12" s="1"/>
  <c r="D41" i="12"/>
  <c r="J43" i="12"/>
  <c r="I43" i="12" s="1"/>
  <c r="D43" i="12"/>
  <c r="J45" i="12"/>
  <c r="I45" i="12" s="1"/>
  <c r="D45" i="12"/>
  <c r="J47" i="12"/>
  <c r="I47" i="12" s="1"/>
  <c r="D47" i="12"/>
  <c r="J49" i="12"/>
  <c r="I49" i="12" s="1"/>
  <c r="D49" i="12"/>
  <c r="J51" i="12"/>
  <c r="I51" i="12" s="1"/>
  <c r="D51" i="12"/>
  <c r="J53" i="12"/>
  <c r="I53" i="12" s="1"/>
  <c r="D53" i="12"/>
  <c r="J55" i="12"/>
  <c r="I55" i="12" s="1"/>
  <c r="D55" i="12"/>
  <c r="J57" i="12"/>
  <c r="I57" i="12" s="1"/>
  <c r="D57" i="12"/>
  <c r="J59" i="12"/>
  <c r="I59" i="12" s="1"/>
  <c r="D59" i="12"/>
  <c r="J61" i="12"/>
  <c r="I61" i="12" s="1"/>
  <c r="D61" i="12"/>
  <c r="J63" i="12"/>
  <c r="I63" i="12" s="1"/>
  <c r="D63" i="12"/>
  <c r="J65" i="12"/>
  <c r="I65" i="12" s="1"/>
  <c r="D65" i="12"/>
  <c r="J67" i="12"/>
  <c r="I67" i="12" s="1"/>
  <c r="D67" i="12"/>
  <c r="J69" i="12"/>
  <c r="I69" i="12" s="1"/>
  <c r="D69" i="12"/>
  <c r="J71" i="12"/>
  <c r="I71" i="12" s="1"/>
  <c r="D71" i="12"/>
  <c r="J73" i="12"/>
  <c r="I73" i="12" s="1"/>
  <c r="D73" i="12"/>
  <c r="J75" i="12"/>
  <c r="I75" i="12" s="1"/>
  <c r="D75" i="12"/>
  <c r="J77" i="12"/>
  <c r="I77" i="12" s="1"/>
  <c r="D77" i="12"/>
  <c r="J79" i="12"/>
  <c r="I79" i="12" s="1"/>
  <c r="D79" i="12"/>
  <c r="J81" i="12"/>
  <c r="I81" i="12" s="1"/>
  <c r="D81" i="12"/>
  <c r="J83" i="12"/>
  <c r="I83" i="12" s="1"/>
  <c r="D83" i="12"/>
  <c r="J85" i="12"/>
  <c r="I85" i="12" s="1"/>
  <c r="D85" i="12"/>
  <c r="J87" i="12"/>
  <c r="I87" i="12" s="1"/>
  <c r="D87" i="12"/>
  <c r="J89" i="12"/>
  <c r="I89" i="12" s="1"/>
  <c r="D89" i="12"/>
  <c r="J91" i="12"/>
  <c r="I91" i="12" s="1"/>
  <c r="D91" i="12"/>
  <c r="J93" i="12"/>
  <c r="I93" i="12" s="1"/>
  <c r="D93" i="12"/>
  <c r="J95" i="12"/>
  <c r="I95" i="12" s="1"/>
  <c r="D95" i="12"/>
  <c r="J97" i="12"/>
  <c r="I97" i="12" s="1"/>
  <c r="D97" i="12"/>
  <c r="J99" i="12"/>
  <c r="I99" i="12" s="1"/>
  <c r="D99" i="12"/>
  <c r="J101" i="12"/>
  <c r="I101" i="12" s="1"/>
  <c r="D101" i="12"/>
  <c r="J103" i="12"/>
  <c r="I103" i="12" s="1"/>
  <c r="D103" i="12"/>
  <c r="D105" i="12"/>
  <c r="J105" i="12"/>
  <c r="I105" i="12" s="1"/>
  <c r="J107" i="12"/>
  <c r="I107" i="12" s="1"/>
  <c r="D107" i="12"/>
  <c r="B46" i="10"/>
  <c r="B98" i="10"/>
  <c r="B82" i="10"/>
  <c r="B114" i="10"/>
  <c r="B170" i="10"/>
  <c r="B158" i="10"/>
  <c r="B130" i="10"/>
  <c r="B126" i="10"/>
  <c r="B218" i="10"/>
  <c r="B202" i="10"/>
  <c r="B186" i="10"/>
  <c r="J8" i="12"/>
  <c r="I8" i="12" s="1"/>
  <c r="J9" i="12"/>
  <c r="I9" i="12" s="1"/>
  <c r="D9" i="12"/>
  <c r="I4" i="8"/>
  <c r="H4" i="8" s="1"/>
  <c r="I9" i="8"/>
  <c r="H9" i="8" s="1"/>
  <c r="I6" i="8"/>
  <c r="H6" i="8" s="1"/>
  <c r="D8" i="8"/>
  <c r="I8" i="8" s="1"/>
  <c r="H8" i="8" s="1"/>
  <c r="D7" i="8"/>
  <c r="I7" i="8" s="1"/>
  <c r="H7" i="8" s="1"/>
  <c r="L21" i="10"/>
  <c r="K21" i="10" s="1"/>
  <c r="G22" i="10"/>
  <c r="C22" i="10" s="1"/>
  <c r="L22" i="10" s="1"/>
  <c r="K22" i="10" s="1"/>
  <c r="D2" i="11"/>
  <c r="B9" i="11"/>
  <c r="E8" i="11"/>
  <c r="H8" i="11" s="1"/>
  <c r="B14" i="1"/>
  <c r="A35" i="1"/>
  <c r="B34" i="10"/>
  <c r="B168" i="10"/>
  <c r="B152" i="10"/>
  <c r="B136" i="10"/>
  <c r="D417" i="8"/>
  <c r="L41" i="10"/>
  <c r="K41" i="10" s="1"/>
  <c r="L45" i="10"/>
  <c r="K45" i="10" s="1"/>
  <c r="B96" i="10"/>
  <c r="B88" i="10"/>
  <c r="B50" i="10"/>
  <c r="L50" i="10" s="1"/>
  <c r="K50" i="10" s="1"/>
  <c r="B26" i="10"/>
  <c r="L26" i="10" s="1"/>
  <c r="K26" i="10" s="1"/>
  <c r="B94" i="10"/>
  <c r="B86" i="10"/>
  <c r="B52" i="10"/>
  <c r="L52" i="10" s="1"/>
  <c r="K52" i="10" s="1"/>
  <c r="B112" i="10"/>
  <c r="B104" i="10"/>
  <c r="B172" i="10"/>
  <c r="B164" i="10"/>
  <c r="B156" i="10"/>
  <c r="B148" i="10"/>
  <c r="B140" i="10"/>
  <c r="B132" i="10"/>
  <c r="B124" i="10"/>
  <c r="B120" i="10"/>
  <c r="B216" i="10"/>
  <c r="B212" i="10"/>
  <c r="B208" i="10"/>
  <c r="B204" i="10"/>
  <c r="B200" i="10"/>
  <c r="B196" i="10"/>
  <c r="B192" i="10"/>
  <c r="B188" i="10"/>
  <c r="B184" i="10"/>
  <c r="B180" i="10"/>
  <c r="L42" i="10"/>
  <c r="K42" i="10" s="1"/>
  <c r="L47" i="10"/>
  <c r="K47" i="10" s="1"/>
  <c r="G39" i="1"/>
  <c r="L39" i="1"/>
  <c r="K39" i="1" s="1"/>
  <c r="G43" i="1"/>
  <c r="L43" i="1"/>
  <c r="K43" i="1" s="1"/>
  <c r="G49" i="1"/>
  <c r="L49" i="1"/>
  <c r="K49" i="1" s="1"/>
  <c r="G57" i="1"/>
  <c r="L57" i="1"/>
  <c r="K57" i="1" s="1"/>
  <c r="G65" i="1"/>
  <c r="L65" i="1"/>
  <c r="K65" i="1" s="1"/>
  <c r="L51" i="10"/>
  <c r="K51" i="10" s="1"/>
  <c r="G47" i="1"/>
  <c r="L47" i="1" s="1"/>
  <c r="K47" i="1" s="1"/>
  <c r="G51" i="1"/>
  <c r="L51" i="1" s="1"/>
  <c r="K51" i="1" s="1"/>
  <c r="G55" i="1"/>
  <c r="L55" i="1" s="1"/>
  <c r="K55" i="1" s="1"/>
  <c r="G59" i="1"/>
  <c r="L59" i="1" s="1"/>
  <c r="K59" i="1" s="1"/>
  <c r="G63" i="1"/>
  <c r="L63" i="1" s="1"/>
  <c r="K63" i="1" s="1"/>
  <c r="G67" i="1"/>
  <c r="L67" i="1" s="1"/>
  <c r="K67" i="1" s="1"/>
  <c r="L25" i="10"/>
  <c r="K25" i="10" s="1"/>
  <c r="B44" i="10"/>
  <c r="L44" i="10" s="1"/>
  <c r="K44" i="10" s="1"/>
  <c r="L23" i="10"/>
  <c r="K23" i="10" s="1"/>
  <c r="D75" i="8"/>
  <c r="D375" i="8"/>
  <c r="D628" i="8"/>
  <c r="D89" i="8"/>
  <c r="D361" i="8"/>
  <c r="D389" i="8"/>
  <c r="D445" i="8"/>
  <c r="D691" i="8"/>
  <c r="L27" i="10"/>
  <c r="K27" i="10" s="1"/>
  <c r="D117" i="8"/>
  <c r="D341" i="8"/>
  <c r="D159" i="8"/>
  <c r="D131" i="8"/>
  <c r="D186" i="8"/>
  <c r="D551" i="8"/>
  <c r="D123" i="8"/>
  <c r="B30" i="10"/>
  <c r="L30" i="10" s="1"/>
  <c r="K30" i="10" s="1"/>
  <c r="D396" i="8"/>
  <c r="L34" i="10"/>
  <c r="K34" i="10" s="1"/>
  <c r="B40" i="10"/>
  <c r="L40" i="10" s="1"/>
  <c r="K40" i="10" s="1"/>
  <c r="D607" i="8"/>
  <c r="D600" i="8"/>
  <c r="B32" i="10"/>
  <c r="L32" i="10" s="1"/>
  <c r="K32" i="10" s="1"/>
  <c r="D635" i="8"/>
  <c r="D579" i="8"/>
  <c r="D523" i="8"/>
  <c r="D144" i="8"/>
  <c r="D173" i="8"/>
  <c r="D201" i="8"/>
  <c r="B36" i="10"/>
  <c r="L36" i="10" s="1"/>
  <c r="K36" i="10" s="1"/>
  <c r="B28" i="10"/>
  <c r="L28" i="10" s="1"/>
  <c r="K28" i="10" s="1"/>
  <c r="L29" i="10"/>
  <c r="K29" i="10" s="1"/>
  <c r="L35" i="10"/>
  <c r="K35" i="10" s="1"/>
  <c r="D495" i="8"/>
  <c r="D488" i="8"/>
  <c r="D32" i="8"/>
  <c r="B80" i="10"/>
  <c r="D677" i="8"/>
  <c r="D452" i="8"/>
  <c r="B72" i="10"/>
  <c r="L46" i="10"/>
  <c r="K46" i="10" s="1"/>
  <c r="B70" i="10"/>
  <c r="B48" i="10"/>
  <c r="L48" i="10" s="1"/>
  <c r="K48" i="10" s="1"/>
  <c r="D649" i="8"/>
  <c r="D621" i="8"/>
  <c r="D593" i="8"/>
  <c r="D565" i="8"/>
  <c r="D537" i="8"/>
  <c r="D509" i="8"/>
  <c r="D369" i="8"/>
  <c r="D424" i="8"/>
  <c r="B76" i="10"/>
  <c r="B58" i="10"/>
  <c r="B78" i="10"/>
  <c r="B60" i="10"/>
  <c r="L33" i="10"/>
  <c r="K33" i="10" s="1"/>
  <c r="D61" i="8"/>
  <c r="D60" i="8"/>
  <c r="I215" i="8"/>
  <c r="H215" i="8" s="1"/>
  <c r="I219" i="8"/>
  <c r="H219" i="8" s="1"/>
  <c r="I216" i="8"/>
  <c r="H216" i="8" s="1"/>
  <c r="I214" i="8"/>
  <c r="H214" i="8" s="1"/>
  <c r="L85" i="10"/>
  <c r="K85" i="10" s="1"/>
  <c r="L86" i="10"/>
  <c r="K86" i="10" s="1"/>
  <c r="I243" i="8"/>
  <c r="H243" i="8" s="1"/>
  <c r="I247" i="8"/>
  <c r="H247" i="8" s="1"/>
  <c r="I244" i="8"/>
  <c r="H244" i="8" s="1"/>
  <c r="I242" i="8"/>
  <c r="H242" i="8" s="1"/>
  <c r="L93" i="10"/>
  <c r="K93" i="10" s="1"/>
  <c r="L94" i="10"/>
  <c r="K94" i="10" s="1"/>
  <c r="I270" i="8"/>
  <c r="H270" i="8" s="1"/>
  <c r="I271" i="8"/>
  <c r="H271" i="8" s="1"/>
  <c r="I272" i="8"/>
  <c r="H272" i="8" s="1"/>
  <c r="I275" i="8"/>
  <c r="H275" i="8" s="1"/>
  <c r="L101" i="10"/>
  <c r="K101" i="10" s="1"/>
  <c r="L102" i="10"/>
  <c r="K102" i="10" s="1"/>
  <c r="I298" i="8"/>
  <c r="H298" i="8" s="1"/>
  <c r="I299" i="8"/>
  <c r="H299" i="8" s="1"/>
  <c r="I303" i="8"/>
  <c r="H303" i="8" s="1"/>
  <c r="I300" i="8"/>
  <c r="H300" i="8" s="1"/>
  <c r="L109" i="10"/>
  <c r="K109" i="10" s="1"/>
  <c r="L110" i="10"/>
  <c r="K110" i="10" s="1"/>
  <c r="I326" i="8"/>
  <c r="H326" i="8" s="1"/>
  <c r="I328" i="8"/>
  <c r="H328" i="8" s="1"/>
  <c r="I331" i="8"/>
  <c r="H331" i="8" s="1"/>
  <c r="L117" i="10"/>
  <c r="K117" i="10" s="1"/>
  <c r="L118" i="10"/>
  <c r="K118" i="10" s="1"/>
  <c r="I354" i="8"/>
  <c r="H354" i="8" s="1"/>
  <c r="I359" i="8"/>
  <c r="H359" i="8" s="1"/>
  <c r="I356" i="8"/>
  <c r="H356" i="8" s="1"/>
  <c r="I368" i="8"/>
  <c r="H368" i="8" s="1"/>
  <c r="I370" i="8"/>
  <c r="H370" i="8" s="1"/>
  <c r="I373" i="8"/>
  <c r="H373" i="8" s="1"/>
  <c r="I369" i="8"/>
  <c r="H369" i="8" s="1"/>
  <c r="L129" i="10"/>
  <c r="K129" i="10" s="1"/>
  <c r="L130" i="10"/>
  <c r="K130" i="10" s="1"/>
  <c r="I396" i="8"/>
  <c r="H396" i="8" s="1"/>
  <c r="I398" i="8"/>
  <c r="H398" i="8" s="1"/>
  <c r="I401" i="8"/>
  <c r="H401" i="8" s="1"/>
  <c r="I397" i="8"/>
  <c r="H397" i="8" s="1"/>
  <c r="L137" i="10"/>
  <c r="K137" i="10" s="1"/>
  <c r="L138" i="10"/>
  <c r="K138" i="10" s="1"/>
  <c r="I424" i="8"/>
  <c r="H424" i="8" s="1"/>
  <c r="I428" i="8"/>
  <c r="H428" i="8" s="1"/>
  <c r="I427" i="8"/>
  <c r="H427" i="8" s="1"/>
  <c r="I426" i="8"/>
  <c r="H426" i="8" s="1"/>
  <c r="I429" i="8"/>
  <c r="H429" i="8" s="1"/>
  <c r="I425" i="8"/>
  <c r="H425" i="8" s="1"/>
  <c r="L145" i="10"/>
  <c r="K145" i="10" s="1"/>
  <c r="L146" i="10"/>
  <c r="K146" i="10" s="1"/>
  <c r="I452" i="8"/>
  <c r="H452" i="8" s="1"/>
  <c r="I456" i="8"/>
  <c r="H456" i="8" s="1"/>
  <c r="I455" i="8"/>
  <c r="H455" i="8" s="1"/>
  <c r="I454" i="8"/>
  <c r="H454" i="8" s="1"/>
  <c r="I457" i="8"/>
  <c r="H457" i="8" s="1"/>
  <c r="I453" i="8"/>
  <c r="H453" i="8" s="1"/>
  <c r="L153" i="10"/>
  <c r="K153" i="10" s="1"/>
  <c r="L154" i="10"/>
  <c r="K154" i="10" s="1"/>
  <c r="I480" i="8"/>
  <c r="H480" i="8" s="1"/>
  <c r="I484" i="8"/>
  <c r="H484" i="8" s="1"/>
  <c r="I483" i="8"/>
  <c r="H483" i="8" s="1"/>
  <c r="I482" i="8"/>
  <c r="H482" i="8" s="1"/>
  <c r="I485" i="8"/>
  <c r="H485" i="8" s="1"/>
  <c r="I481" i="8"/>
  <c r="H481" i="8" s="1"/>
  <c r="L161" i="10"/>
  <c r="K161" i="10" s="1"/>
  <c r="L162" i="10"/>
  <c r="K162" i="10" s="1"/>
  <c r="I508" i="8"/>
  <c r="H508" i="8" s="1"/>
  <c r="I512" i="8"/>
  <c r="H512" i="8" s="1"/>
  <c r="I511" i="8"/>
  <c r="H511" i="8" s="1"/>
  <c r="I510" i="8"/>
  <c r="H510" i="8" s="1"/>
  <c r="I513" i="8"/>
  <c r="H513" i="8" s="1"/>
  <c r="I509" i="8"/>
  <c r="H509" i="8" s="1"/>
  <c r="L169" i="10"/>
  <c r="K169" i="10" s="1"/>
  <c r="L170" i="10"/>
  <c r="K170" i="10" s="1"/>
  <c r="I538" i="8"/>
  <c r="H538" i="8" s="1"/>
  <c r="I537" i="8"/>
  <c r="H537" i="8" s="1"/>
  <c r="I541" i="8"/>
  <c r="H541" i="8" s="1"/>
  <c r="I540" i="8"/>
  <c r="H540" i="8" s="1"/>
  <c r="I536" i="8"/>
  <c r="H536" i="8" s="1"/>
  <c r="I539" i="8"/>
  <c r="H539" i="8" s="1"/>
  <c r="L177" i="10"/>
  <c r="K177" i="10" s="1"/>
  <c r="L178" i="10"/>
  <c r="K178" i="10" s="1"/>
  <c r="I564" i="8"/>
  <c r="H564" i="8" s="1"/>
  <c r="I568" i="8"/>
  <c r="H568" i="8" s="1"/>
  <c r="I567" i="8"/>
  <c r="H567" i="8" s="1"/>
  <c r="I566" i="8"/>
  <c r="H566" i="8" s="1"/>
  <c r="I569" i="8"/>
  <c r="H569" i="8" s="1"/>
  <c r="I565" i="8"/>
  <c r="H565" i="8" s="1"/>
  <c r="L185" i="10"/>
  <c r="K185" i="10" s="1"/>
  <c r="L186" i="10"/>
  <c r="K186" i="10" s="1"/>
  <c r="I594" i="8"/>
  <c r="H594" i="8" s="1"/>
  <c r="I593" i="8"/>
  <c r="H593" i="8" s="1"/>
  <c r="I597" i="8"/>
  <c r="H597" i="8" s="1"/>
  <c r="I596" i="8"/>
  <c r="H596" i="8" s="1"/>
  <c r="I592" i="8"/>
  <c r="H592" i="8" s="1"/>
  <c r="I595" i="8"/>
  <c r="H595" i="8" s="1"/>
  <c r="L193" i="10"/>
  <c r="K193" i="10" s="1"/>
  <c r="L194" i="10"/>
  <c r="K194" i="10" s="1"/>
  <c r="I621" i="8"/>
  <c r="H621" i="8" s="1"/>
  <c r="I625" i="8"/>
  <c r="H625" i="8" s="1"/>
  <c r="I624" i="8"/>
  <c r="H624" i="8" s="1"/>
  <c r="I620" i="8"/>
  <c r="H620" i="8" s="1"/>
  <c r="I622" i="8"/>
  <c r="H622" i="8" s="1"/>
  <c r="I623" i="8"/>
  <c r="H623" i="8" s="1"/>
  <c r="L201" i="10"/>
  <c r="K201" i="10" s="1"/>
  <c r="L202" i="10"/>
  <c r="K202" i="10" s="1"/>
  <c r="I649" i="8"/>
  <c r="H649" i="8" s="1"/>
  <c r="I653" i="8"/>
  <c r="H653" i="8" s="1"/>
  <c r="I652" i="8"/>
  <c r="H652" i="8" s="1"/>
  <c r="I648" i="8"/>
  <c r="H648" i="8" s="1"/>
  <c r="I650" i="8"/>
  <c r="H650" i="8" s="1"/>
  <c r="I651" i="8"/>
  <c r="H651" i="8" s="1"/>
  <c r="L209" i="10"/>
  <c r="K209" i="10" s="1"/>
  <c r="L210" i="10"/>
  <c r="K210" i="10" s="1"/>
  <c r="I677" i="8"/>
  <c r="H677" i="8" s="1"/>
  <c r="I681" i="8"/>
  <c r="H681" i="8" s="1"/>
  <c r="I680" i="8"/>
  <c r="H680" i="8" s="1"/>
  <c r="I676" i="8"/>
  <c r="H676" i="8" s="1"/>
  <c r="I678" i="8"/>
  <c r="H678" i="8" s="1"/>
  <c r="I679" i="8"/>
  <c r="H679" i="8" s="1"/>
  <c r="L217" i="10"/>
  <c r="K217" i="10" s="1"/>
  <c r="L218" i="10"/>
  <c r="K218" i="10" s="1"/>
  <c r="G28" i="1"/>
  <c r="L28" i="1" s="1"/>
  <c r="K28" i="1" s="1"/>
  <c r="B28" i="1"/>
  <c r="G44" i="1"/>
  <c r="L44" i="1" s="1"/>
  <c r="K44" i="1" s="1"/>
  <c r="A44" i="1"/>
  <c r="D239" i="8"/>
  <c r="D238" i="8"/>
  <c r="G48" i="1"/>
  <c r="L48" i="1" s="1"/>
  <c r="K48" i="1" s="1"/>
  <c r="A48" i="1"/>
  <c r="D267" i="8"/>
  <c r="D266" i="8"/>
  <c r="G52" i="1"/>
  <c r="L52" i="1" s="1"/>
  <c r="K52" i="1" s="1"/>
  <c r="A52" i="1"/>
  <c r="D295" i="8"/>
  <c r="D294" i="8"/>
  <c r="G56" i="1"/>
  <c r="L56" i="1" s="1"/>
  <c r="K56" i="1" s="1"/>
  <c r="A56" i="1"/>
  <c r="D323" i="8"/>
  <c r="D322" i="8"/>
  <c r="G60" i="1"/>
  <c r="L60" i="1" s="1"/>
  <c r="K60" i="1" s="1"/>
  <c r="A60" i="1"/>
  <c r="D351" i="8"/>
  <c r="D350" i="8"/>
  <c r="D365" i="8"/>
  <c r="I365" i="8" s="1"/>
  <c r="H365" i="8" s="1"/>
  <c r="D364" i="8"/>
  <c r="D393" i="8"/>
  <c r="D392" i="8"/>
  <c r="D420" i="8"/>
  <c r="D421" i="8"/>
  <c r="D448" i="8"/>
  <c r="D449" i="8"/>
  <c r="D477" i="8"/>
  <c r="D476" i="8"/>
  <c r="D505" i="8"/>
  <c r="D504" i="8"/>
  <c r="D533" i="8"/>
  <c r="D532" i="8"/>
  <c r="G92" i="1"/>
  <c r="A92" i="1"/>
  <c r="D575" i="8"/>
  <c r="D574" i="8"/>
  <c r="D589" i="8"/>
  <c r="D588" i="8"/>
  <c r="D603" i="8"/>
  <c r="D602" i="8"/>
  <c r="D616" i="8"/>
  <c r="D617" i="8"/>
  <c r="D631" i="8"/>
  <c r="D630" i="8"/>
  <c r="D645" i="8"/>
  <c r="D644" i="8"/>
  <c r="D659" i="8"/>
  <c r="D658" i="8"/>
  <c r="D673" i="8"/>
  <c r="D672" i="8"/>
  <c r="D687" i="8"/>
  <c r="D686" i="8"/>
  <c r="G112" i="1"/>
  <c r="B112" i="1"/>
  <c r="A112" i="1"/>
  <c r="I251" i="8"/>
  <c r="H251" i="8" s="1"/>
  <c r="I254" i="8"/>
  <c r="H254" i="8" s="1"/>
  <c r="I249" i="8"/>
  <c r="H249" i="8" s="1"/>
  <c r="L91" i="10"/>
  <c r="K91" i="10" s="1"/>
  <c r="L92" i="10"/>
  <c r="K92" i="10" s="1"/>
  <c r="I305" i="8"/>
  <c r="H305" i="8" s="1"/>
  <c r="I310" i="8"/>
  <c r="H310" i="8" s="1"/>
  <c r="I307" i="8"/>
  <c r="H307" i="8" s="1"/>
  <c r="L107" i="10"/>
  <c r="K107" i="10" s="1"/>
  <c r="L108" i="10"/>
  <c r="K108" i="10" s="1"/>
  <c r="I364" i="8"/>
  <c r="H364" i="8" s="1"/>
  <c r="I361" i="8"/>
  <c r="H361" i="8" s="1"/>
  <c r="I366" i="8"/>
  <c r="H366" i="8" s="1"/>
  <c r="I363" i="8"/>
  <c r="H363" i="8" s="1"/>
  <c r="I362" i="8"/>
  <c r="H362" i="8" s="1"/>
  <c r="L131" i="10"/>
  <c r="K131" i="10" s="1"/>
  <c r="L132" i="10"/>
  <c r="K132" i="10" s="1"/>
  <c r="I420" i="8"/>
  <c r="H420" i="8" s="1"/>
  <c r="I417" i="8"/>
  <c r="H417" i="8" s="1"/>
  <c r="I421" i="8"/>
  <c r="H421" i="8" s="1"/>
  <c r="I422" i="8"/>
  <c r="H422" i="8" s="1"/>
  <c r="I419" i="8"/>
  <c r="H419" i="8" s="1"/>
  <c r="I418" i="8"/>
  <c r="H418" i="8" s="1"/>
  <c r="L147" i="10"/>
  <c r="K147" i="10" s="1"/>
  <c r="L148" i="10"/>
  <c r="K148" i="10" s="1"/>
  <c r="I476" i="8"/>
  <c r="H476" i="8" s="1"/>
  <c r="I473" i="8"/>
  <c r="H473" i="8" s="1"/>
  <c r="I477" i="8"/>
  <c r="H477" i="8" s="1"/>
  <c r="I478" i="8"/>
  <c r="H478" i="8" s="1"/>
  <c r="I474" i="8"/>
  <c r="H474" i="8" s="1"/>
  <c r="I475" i="8"/>
  <c r="H475" i="8" s="1"/>
  <c r="L163" i="10"/>
  <c r="K163" i="10" s="1"/>
  <c r="L164" i="10"/>
  <c r="K164" i="10" s="1"/>
  <c r="I530" i="8"/>
  <c r="H530" i="8" s="1"/>
  <c r="I534" i="8"/>
  <c r="H534" i="8" s="1"/>
  <c r="I531" i="8"/>
  <c r="H531" i="8" s="1"/>
  <c r="I532" i="8"/>
  <c r="H532" i="8" s="1"/>
  <c r="I533" i="8"/>
  <c r="H533" i="8" s="1"/>
  <c r="I529" i="8"/>
  <c r="H529" i="8" s="1"/>
  <c r="L179" i="10"/>
  <c r="K179" i="10" s="1"/>
  <c r="L180" i="10"/>
  <c r="K180" i="10" s="1"/>
  <c r="I586" i="8"/>
  <c r="H586" i="8" s="1"/>
  <c r="I590" i="8"/>
  <c r="H590" i="8" s="1"/>
  <c r="I587" i="8"/>
  <c r="H587" i="8" s="1"/>
  <c r="I588" i="8"/>
  <c r="H588" i="8" s="1"/>
  <c r="I589" i="8"/>
  <c r="H589" i="8" s="1"/>
  <c r="I585" i="8"/>
  <c r="H585" i="8" s="1"/>
  <c r="L195" i="10"/>
  <c r="K195" i="10" s="1"/>
  <c r="L196" i="10"/>
  <c r="K196" i="10" s="1"/>
  <c r="L203" i="10"/>
  <c r="K203" i="10" s="1"/>
  <c r="L204" i="10"/>
  <c r="K204" i="10" s="1"/>
  <c r="L211" i="10"/>
  <c r="K211" i="10" s="1"/>
  <c r="L212" i="10"/>
  <c r="K212" i="10" s="1"/>
  <c r="L219" i="10"/>
  <c r="K219" i="10" s="1"/>
  <c r="L220" i="10"/>
  <c r="K220" i="10" s="1"/>
  <c r="L221" i="10"/>
  <c r="K221" i="10" s="1"/>
  <c r="L222" i="10"/>
  <c r="K222" i="10" s="1"/>
  <c r="D106" i="8"/>
  <c r="I106" i="8" s="1"/>
  <c r="H106" i="8" s="1"/>
  <c r="D105" i="8"/>
  <c r="I105" i="8" s="1"/>
  <c r="H105" i="8" s="1"/>
  <c r="G27" i="1"/>
  <c r="L27" i="1" s="1"/>
  <c r="K27" i="1" s="1"/>
  <c r="B27" i="1"/>
  <c r="G31" i="1"/>
  <c r="L31" i="1" s="1"/>
  <c r="K31" i="1" s="1"/>
  <c r="B31" i="1"/>
  <c r="D218" i="8"/>
  <c r="I218" i="8" s="1"/>
  <c r="H218" i="8" s="1"/>
  <c r="D217" i="8"/>
  <c r="I217" i="8" s="1"/>
  <c r="H217" i="8" s="1"/>
  <c r="D232" i="8"/>
  <c r="D231" i="8"/>
  <c r="G45" i="1"/>
  <c r="L45" i="1" s="1"/>
  <c r="K45" i="1" s="1"/>
  <c r="B45" i="1"/>
  <c r="D260" i="8"/>
  <c r="D259" i="8"/>
  <c r="D288" i="8"/>
  <c r="D287" i="8"/>
  <c r="G53" i="1"/>
  <c r="L53" i="1" s="1"/>
  <c r="K53" i="1" s="1"/>
  <c r="B53" i="1"/>
  <c r="D316" i="8"/>
  <c r="D315" i="8"/>
  <c r="D344" i="8"/>
  <c r="D343" i="8"/>
  <c r="G61" i="1"/>
  <c r="L61" i="1" s="1"/>
  <c r="K61" i="1" s="1"/>
  <c r="B61" i="1"/>
  <c r="D372" i="8"/>
  <c r="I372" i="8" s="1"/>
  <c r="H372" i="8" s="1"/>
  <c r="D371" i="8"/>
  <c r="I371" i="8" s="1"/>
  <c r="H371" i="8" s="1"/>
  <c r="D400" i="8"/>
  <c r="I400" i="8" s="1"/>
  <c r="H400" i="8" s="1"/>
  <c r="D399" i="8"/>
  <c r="I399" i="8" s="1"/>
  <c r="H399" i="8" s="1"/>
  <c r="G69" i="1"/>
  <c r="L69" i="1" s="1"/>
  <c r="K69" i="1" s="1"/>
  <c r="B69" i="1"/>
  <c r="D428" i="8"/>
  <c r="D427" i="8"/>
  <c r="D456" i="8"/>
  <c r="D455" i="8"/>
  <c r="G77" i="1"/>
  <c r="B77" i="1"/>
  <c r="D483" i="8"/>
  <c r="D484" i="8"/>
  <c r="D498" i="8"/>
  <c r="D497" i="8"/>
  <c r="D526" i="8"/>
  <c r="D525" i="8"/>
  <c r="D554" i="8"/>
  <c r="D553" i="8"/>
  <c r="D582" i="8"/>
  <c r="D581" i="8"/>
  <c r="D610" i="8"/>
  <c r="D609" i="8"/>
  <c r="D638" i="8"/>
  <c r="D637" i="8"/>
  <c r="D666" i="8"/>
  <c r="D665" i="8"/>
  <c r="G107" i="1"/>
  <c r="A107" i="1"/>
  <c r="D694" i="8"/>
  <c r="D693" i="8"/>
  <c r="G111" i="1"/>
  <c r="A111" i="1"/>
  <c r="I111" i="8"/>
  <c r="H111" i="8" s="1"/>
  <c r="I114" i="8"/>
  <c r="H114" i="8" s="1"/>
  <c r="I268" i="8"/>
  <c r="H268" i="8" s="1"/>
  <c r="I266" i="8"/>
  <c r="H266" i="8" s="1"/>
  <c r="I265" i="8"/>
  <c r="H265" i="8" s="1"/>
  <c r="I267" i="8"/>
  <c r="H267" i="8" s="1"/>
  <c r="L95" i="10"/>
  <c r="K95" i="10" s="1"/>
  <c r="L96" i="10"/>
  <c r="K96" i="10" s="1"/>
  <c r="I324" i="8"/>
  <c r="H324" i="8" s="1"/>
  <c r="I321" i="8"/>
  <c r="H321" i="8" s="1"/>
  <c r="I319" i="8"/>
  <c r="H319" i="8" s="1"/>
  <c r="I322" i="8"/>
  <c r="H322" i="8" s="1"/>
  <c r="I323" i="8"/>
  <c r="H323" i="8" s="1"/>
  <c r="L111" i="10"/>
  <c r="K111" i="10" s="1"/>
  <c r="L112" i="10"/>
  <c r="K112" i="10" s="1"/>
  <c r="I376" i="8"/>
  <c r="H376" i="8" s="1"/>
  <c r="I380" i="8"/>
  <c r="H380" i="8" s="1"/>
  <c r="I377" i="8"/>
  <c r="H377" i="8" s="1"/>
  <c r="I375" i="8"/>
  <c r="H375" i="8" s="1"/>
  <c r="L135" i="10"/>
  <c r="K135" i="10" s="1"/>
  <c r="L136" i="10"/>
  <c r="K136" i="10" s="1"/>
  <c r="I432" i="8"/>
  <c r="H432" i="8" s="1"/>
  <c r="I436" i="8"/>
  <c r="H436" i="8" s="1"/>
  <c r="I433" i="8"/>
  <c r="H433" i="8" s="1"/>
  <c r="I431" i="8"/>
  <c r="H431" i="8" s="1"/>
  <c r="I434" i="8"/>
  <c r="H434" i="8" s="1"/>
  <c r="I435" i="8"/>
  <c r="H435" i="8" s="1"/>
  <c r="L151" i="10"/>
  <c r="K151" i="10" s="1"/>
  <c r="L152" i="10"/>
  <c r="K152" i="10" s="1"/>
  <c r="I488" i="8"/>
  <c r="H488" i="8" s="1"/>
  <c r="I492" i="8"/>
  <c r="H492" i="8" s="1"/>
  <c r="I489" i="8"/>
  <c r="H489" i="8" s="1"/>
  <c r="I487" i="8"/>
  <c r="H487" i="8" s="1"/>
  <c r="I491" i="8"/>
  <c r="H491" i="8" s="1"/>
  <c r="I490" i="8"/>
  <c r="H490" i="8" s="1"/>
  <c r="L167" i="10"/>
  <c r="K167" i="10" s="1"/>
  <c r="L168" i="10"/>
  <c r="K168" i="10" s="1"/>
  <c r="I546" i="8"/>
  <c r="H546" i="8" s="1"/>
  <c r="I543" i="8"/>
  <c r="H543" i="8" s="1"/>
  <c r="I547" i="8"/>
  <c r="H547" i="8" s="1"/>
  <c r="I544" i="8"/>
  <c r="H544" i="8" s="1"/>
  <c r="I545" i="8"/>
  <c r="H545" i="8" s="1"/>
  <c r="I548" i="8"/>
  <c r="H548" i="8" s="1"/>
  <c r="L183" i="10"/>
  <c r="K183" i="10" s="1"/>
  <c r="L184" i="10"/>
  <c r="K184" i="10" s="1"/>
  <c r="I602" i="8"/>
  <c r="H602" i="8" s="1"/>
  <c r="I599" i="8"/>
  <c r="H599" i="8" s="1"/>
  <c r="I603" i="8"/>
  <c r="H603" i="8" s="1"/>
  <c r="I600" i="8"/>
  <c r="H600" i="8" s="1"/>
  <c r="I601" i="8"/>
  <c r="H601" i="8" s="1"/>
  <c r="I604" i="8"/>
  <c r="H604" i="8" s="1"/>
  <c r="L199" i="10"/>
  <c r="K199" i="10" s="1"/>
  <c r="L200" i="10"/>
  <c r="K200" i="10" s="1"/>
  <c r="L207" i="10"/>
  <c r="K207" i="10" s="1"/>
  <c r="L208" i="10"/>
  <c r="K208" i="10" s="1"/>
  <c r="L215" i="10"/>
  <c r="K215" i="10" s="1"/>
  <c r="L216" i="10"/>
  <c r="K216" i="10" s="1"/>
  <c r="I104" i="8"/>
  <c r="H104" i="8" s="1"/>
  <c r="I107" i="8"/>
  <c r="H107" i="8" s="1"/>
  <c r="L81" i="10"/>
  <c r="K81" i="10" s="1"/>
  <c r="L82" i="10"/>
  <c r="K82" i="10" s="1"/>
  <c r="I229" i="8"/>
  <c r="H229" i="8" s="1"/>
  <c r="I233" i="8"/>
  <c r="H233" i="8" s="1"/>
  <c r="I230" i="8"/>
  <c r="H230" i="8" s="1"/>
  <c r="I231" i="8"/>
  <c r="H231" i="8" s="1"/>
  <c r="I232" i="8"/>
  <c r="H232" i="8" s="1"/>
  <c r="I228" i="8"/>
  <c r="H228" i="8" s="1"/>
  <c r="L89" i="10"/>
  <c r="K89" i="10" s="1"/>
  <c r="L90" i="10"/>
  <c r="K90" i="10" s="1"/>
  <c r="I257" i="8"/>
  <c r="H257" i="8" s="1"/>
  <c r="I261" i="8"/>
  <c r="H261" i="8" s="1"/>
  <c r="I258" i="8"/>
  <c r="H258" i="8" s="1"/>
  <c r="I259" i="8"/>
  <c r="H259" i="8" s="1"/>
  <c r="I260" i="8"/>
  <c r="H260" i="8" s="1"/>
  <c r="I256" i="8"/>
  <c r="H256" i="8" s="1"/>
  <c r="L97" i="10"/>
  <c r="K97" i="10" s="1"/>
  <c r="L98" i="10"/>
  <c r="K98" i="10" s="1"/>
  <c r="I284" i="8"/>
  <c r="H284" i="8" s="1"/>
  <c r="I288" i="8"/>
  <c r="H288" i="8" s="1"/>
  <c r="I287" i="8"/>
  <c r="H287" i="8" s="1"/>
  <c r="I286" i="8"/>
  <c r="H286" i="8" s="1"/>
  <c r="I289" i="8"/>
  <c r="H289" i="8" s="1"/>
  <c r="I285" i="8"/>
  <c r="H285" i="8" s="1"/>
  <c r="L105" i="10"/>
  <c r="K105" i="10" s="1"/>
  <c r="L106" i="10"/>
  <c r="K106" i="10" s="1"/>
  <c r="I312" i="8"/>
  <c r="H312" i="8" s="1"/>
  <c r="I316" i="8"/>
  <c r="H316" i="8" s="1"/>
  <c r="I315" i="8"/>
  <c r="H315" i="8" s="1"/>
  <c r="I314" i="8"/>
  <c r="H314" i="8" s="1"/>
  <c r="I317" i="8"/>
  <c r="H317" i="8" s="1"/>
  <c r="I313" i="8"/>
  <c r="H313" i="8" s="1"/>
  <c r="L113" i="10"/>
  <c r="K113" i="10" s="1"/>
  <c r="L114" i="10"/>
  <c r="K114" i="10" s="1"/>
  <c r="I340" i="8"/>
  <c r="H340" i="8" s="1"/>
  <c r="I344" i="8"/>
  <c r="H344" i="8" s="1"/>
  <c r="I343" i="8"/>
  <c r="H343" i="8" s="1"/>
  <c r="I342" i="8"/>
  <c r="H342" i="8" s="1"/>
  <c r="I345" i="8"/>
  <c r="H345" i="8" s="1"/>
  <c r="I341" i="8"/>
  <c r="H341" i="8" s="1"/>
  <c r="L121" i="10"/>
  <c r="K121" i="10" s="1"/>
  <c r="L122" i="10"/>
  <c r="K122" i="10" s="1"/>
  <c r="L125" i="10"/>
  <c r="K125" i="10" s="1"/>
  <c r="L126" i="10"/>
  <c r="K126" i="10" s="1"/>
  <c r="I382" i="8"/>
  <c r="H382" i="8" s="1"/>
  <c r="I384" i="8"/>
  <c r="H384" i="8" s="1"/>
  <c r="I387" i="8"/>
  <c r="H387" i="8" s="1"/>
  <c r="L133" i="10"/>
  <c r="K133" i="10" s="1"/>
  <c r="L134" i="10"/>
  <c r="K134" i="10" s="1"/>
  <c r="I410" i="8"/>
  <c r="H410" i="8" s="1"/>
  <c r="I414" i="8"/>
  <c r="H414" i="8" s="1"/>
  <c r="I413" i="8"/>
  <c r="H413" i="8" s="1"/>
  <c r="I411" i="8"/>
  <c r="H411" i="8" s="1"/>
  <c r="I415" i="8"/>
  <c r="H415" i="8" s="1"/>
  <c r="I412" i="8"/>
  <c r="H412" i="8" s="1"/>
  <c r="L141" i="10"/>
  <c r="K141" i="10" s="1"/>
  <c r="L142" i="10"/>
  <c r="K142" i="10" s="1"/>
  <c r="I438" i="8"/>
  <c r="H438" i="8" s="1"/>
  <c r="I442" i="8"/>
  <c r="H442" i="8" s="1"/>
  <c r="I441" i="8"/>
  <c r="H441" i="8" s="1"/>
  <c r="I439" i="8"/>
  <c r="H439" i="8" s="1"/>
  <c r="I440" i="8"/>
  <c r="H440" i="8" s="1"/>
  <c r="I443" i="8"/>
  <c r="H443" i="8" s="1"/>
  <c r="L149" i="10"/>
  <c r="K149" i="10" s="1"/>
  <c r="L150" i="10"/>
  <c r="K150" i="10" s="1"/>
  <c r="I466" i="8"/>
  <c r="H466" i="8" s="1"/>
  <c r="I470" i="8"/>
  <c r="H470" i="8" s="1"/>
  <c r="I469" i="8"/>
  <c r="H469" i="8" s="1"/>
  <c r="I467" i="8"/>
  <c r="H467" i="8" s="1"/>
  <c r="I471" i="8"/>
  <c r="H471" i="8" s="1"/>
  <c r="I468" i="8"/>
  <c r="H468" i="8" s="1"/>
  <c r="L157" i="10"/>
  <c r="K157" i="10" s="1"/>
  <c r="L158" i="10"/>
  <c r="K158" i="10" s="1"/>
  <c r="I494" i="8"/>
  <c r="H494" i="8" s="1"/>
  <c r="I498" i="8"/>
  <c r="H498" i="8" s="1"/>
  <c r="I497" i="8"/>
  <c r="H497" i="8" s="1"/>
  <c r="I495" i="8"/>
  <c r="H495" i="8" s="1"/>
  <c r="I496" i="8"/>
  <c r="H496" i="8" s="1"/>
  <c r="I499" i="8"/>
  <c r="H499" i="8" s="1"/>
  <c r="L165" i="10"/>
  <c r="K165" i="10" s="1"/>
  <c r="L166" i="10"/>
  <c r="K166" i="10" s="1"/>
  <c r="I522" i="8"/>
  <c r="H522" i="8" s="1"/>
  <c r="I526" i="8"/>
  <c r="H526" i="8" s="1"/>
  <c r="I525" i="8"/>
  <c r="H525" i="8" s="1"/>
  <c r="I523" i="8"/>
  <c r="H523" i="8" s="1"/>
  <c r="I527" i="8"/>
  <c r="H527" i="8" s="1"/>
  <c r="I524" i="8"/>
  <c r="H524" i="8" s="1"/>
  <c r="L173" i="10"/>
  <c r="K173" i="10" s="1"/>
  <c r="L174" i="10"/>
  <c r="K174" i="10" s="1"/>
  <c r="I552" i="8"/>
  <c r="H552" i="8" s="1"/>
  <c r="I551" i="8"/>
  <c r="H551" i="8" s="1"/>
  <c r="I555" i="8"/>
  <c r="H555" i="8" s="1"/>
  <c r="I550" i="8"/>
  <c r="H550" i="8" s="1"/>
  <c r="I553" i="8"/>
  <c r="H553" i="8" s="1"/>
  <c r="I554" i="8"/>
  <c r="H554" i="8" s="1"/>
  <c r="L181" i="10"/>
  <c r="K181" i="10" s="1"/>
  <c r="L182" i="10"/>
  <c r="K182" i="10" s="1"/>
  <c r="I578" i="8"/>
  <c r="H578" i="8" s="1"/>
  <c r="I582" i="8"/>
  <c r="H582" i="8" s="1"/>
  <c r="I581" i="8"/>
  <c r="H581" i="8" s="1"/>
  <c r="I579" i="8"/>
  <c r="H579" i="8" s="1"/>
  <c r="I583" i="8"/>
  <c r="H583" i="8" s="1"/>
  <c r="I580" i="8"/>
  <c r="H580" i="8" s="1"/>
  <c r="L189" i="10"/>
  <c r="K189" i="10" s="1"/>
  <c r="L190" i="10"/>
  <c r="K190" i="10" s="1"/>
  <c r="I607" i="8"/>
  <c r="H607" i="8" s="1"/>
  <c r="I611" i="8"/>
  <c r="H611" i="8" s="1"/>
  <c r="I608" i="8"/>
  <c r="H608" i="8" s="1"/>
  <c r="I609" i="8"/>
  <c r="H609" i="8" s="1"/>
  <c r="I606" i="8"/>
  <c r="H606" i="8" s="1"/>
  <c r="I610" i="8"/>
  <c r="H610" i="8" s="1"/>
  <c r="L197" i="10"/>
  <c r="K197" i="10" s="1"/>
  <c r="L198" i="10"/>
  <c r="K198" i="10" s="1"/>
  <c r="I635" i="8"/>
  <c r="H635" i="8" s="1"/>
  <c r="I639" i="8"/>
  <c r="H639" i="8" s="1"/>
  <c r="I636" i="8"/>
  <c r="H636" i="8" s="1"/>
  <c r="I634" i="8"/>
  <c r="H634" i="8" s="1"/>
  <c r="I637" i="8"/>
  <c r="H637" i="8" s="1"/>
  <c r="I638" i="8"/>
  <c r="H638" i="8" s="1"/>
  <c r="L205" i="10"/>
  <c r="K205" i="10" s="1"/>
  <c r="L206" i="10"/>
  <c r="K206" i="10" s="1"/>
  <c r="I663" i="8"/>
  <c r="H663" i="8" s="1"/>
  <c r="I667" i="8"/>
  <c r="H667" i="8" s="1"/>
  <c r="I664" i="8"/>
  <c r="H664" i="8" s="1"/>
  <c r="I662" i="8"/>
  <c r="H662" i="8" s="1"/>
  <c r="I665" i="8"/>
  <c r="H665" i="8" s="1"/>
  <c r="I666" i="8"/>
  <c r="H666" i="8" s="1"/>
  <c r="L213" i="10"/>
  <c r="K213" i="10" s="1"/>
  <c r="L214" i="10"/>
  <c r="K214" i="10" s="1"/>
  <c r="I691" i="8"/>
  <c r="H691" i="8" s="1"/>
  <c r="I695" i="8"/>
  <c r="H695" i="8" s="1"/>
  <c r="I692" i="8"/>
  <c r="H692" i="8" s="1"/>
  <c r="I690" i="8"/>
  <c r="H690" i="8" s="1"/>
  <c r="I693" i="8"/>
  <c r="H693" i="8" s="1"/>
  <c r="I694" i="8"/>
  <c r="H694" i="8" s="1"/>
  <c r="D113" i="8"/>
  <c r="I113" i="8" s="1"/>
  <c r="H113" i="8" s="1"/>
  <c r="D112" i="8"/>
  <c r="I112" i="8" s="1"/>
  <c r="H112" i="8" s="1"/>
  <c r="G30" i="1"/>
  <c r="L30" i="1" s="1"/>
  <c r="K30" i="1" s="1"/>
  <c r="B30" i="1"/>
  <c r="G32" i="1"/>
  <c r="L32" i="1" s="1"/>
  <c r="K32" i="1" s="1"/>
  <c r="B32" i="1"/>
  <c r="G34" i="1"/>
  <c r="L34" i="1" s="1"/>
  <c r="K34" i="1" s="1"/>
  <c r="A34" i="1"/>
  <c r="G36" i="1"/>
  <c r="L36" i="1" s="1"/>
  <c r="K36" i="1" s="1"/>
  <c r="A36" i="1"/>
  <c r="G38" i="1"/>
  <c r="L38" i="1" s="1"/>
  <c r="K38" i="1" s="1"/>
  <c r="A38" i="1"/>
  <c r="G40" i="1"/>
  <c r="L40" i="1" s="1"/>
  <c r="K40" i="1" s="1"/>
  <c r="A40" i="1"/>
  <c r="G42" i="1"/>
  <c r="L42" i="1" s="1"/>
  <c r="K42" i="1" s="1"/>
  <c r="A42" i="1"/>
  <c r="D225" i="8"/>
  <c r="I225" i="8" s="1"/>
  <c r="H225" i="8" s="1"/>
  <c r="D224" i="8"/>
  <c r="G46" i="1"/>
  <c r="L46" i="1" s="1"/>
  <c r="K46" i="1" s="1"/>
  <c r="A46" i="1"/>
  <c r="D253" i="8"/>
  <c r="I253" i="8" s="1"/>
  <c r="H253" i="8" s="1"/>
  <c r="D252" i="8"/>
  <c r="I252" i="8" s="1"/>
  <c r="H252" i="8" s="1"/>
  <c r="G50" i="1"/>
  <c r="L50" i="1" s="1"/>
  <c r="K50" i="1" s="1"/>
  <c r="A50" i="1"/>
  <c r="D281" i="8"/>
  <c r="I281" i="8" s="1"/>
  <c r="H281" i="8" s="1"/>
  <c r="D280" i="8"/>
  <c r="G54" i="1"/>
  <c r="L54" i="1" s="1"/>
  <c r="K54" i="1" s="1"/>
  <c r="A54" i="1"/>
  <c r="D309" i="8"/>
  <c r="I309" i="8" s="1"/>
  <c r="H309" i="8" s="1"/>
  <c r="D308" i="8"/>
  <c r="I308" i="8" s="1"/>
  <c r="H308" i="8" s="1"/>
  <c r="G58" i="1"/>
  <c r="L58" i="1" s="1"/>
  <c r="K58" i="1" s="1"/>
  <c r="A58" i="1"/>
  <c r="D337" i="8"/>
  <c r="D336" i="8"/>
  <c r="G62" i="1"/>
  <c r="L62" i="1" s="1"/>
  <c r="K62" i="1" s="1"/>
  <c r="A62" i="1"/>
  <c r="G64" i="1"/>
  <c r="L64" i="1" s="1"/>
  <c r="K64" i="1" s="1"/>
  <c r="A64" i="1"/>
  <c r="D379" i="8"/>
  <c r="I379" i="8" s="1"/>
  <c r="H379" i="8" s="1"/>
  <c r="D378" i="8"/>
  <c r="I378" i="8" s="1"/>
  <c r="H378" i="8" s="1"/>
  <c r="G66" i="1"/>
  <c r="L66" i="1" s="1"/>
  <c r="K66" i="1" s="1"/>
  <c r="A66" i="1"/>
  <c r="G68" i="1"/>
  <c r="L68" i="1" s="1"/>
  <c r="K68" i="1" s="1"/>
  <c r="A68" i="1"/>
  <c r="D406" i="8"/>
  <c r="D407" i="8"/>
  <c r="G70" i="1"/>
  <c r="L70" i="1" s="1"/>
  <c r="K70" i="1" s="1"/>
  <c r="A70" i="1"/>
  <c r="G72" i="1"/>
  <c r="A72" i="1"/>
  <c r="D434" i="8"/>
  <c r="D435" i="8"/>
  <c r="G74" i="1"/>
  <c r="A74" i="1"/>
  <c r="G76" i="1"/>
  <c r="A76" i="1"/>
  <c r="D463" i="8"/>
  <c r="D462" i="8"/>
  <c r="G78" i="1"/>
  <c r="A78" i="1"/>
  <c r="G80" i="1"/>
  <c r="A80" i="1"/>
  <c r="D491" i="8"/>
  <c r="D490" i="8"/>
  <c r="G82" i="1"/>
  <c r="A82" i="1"/>
  <c r="G84" i="1"/>
  <c r="A84" i="1"/>
  <c r="D519" i="8"/>
  <c r="D518" i="8"/>
  <c r="G86" i="1"/>
  <c r="A86" i="1"/>
  <c r="G88" i="1"/>
  <c r="A88" i="1"/>
  <c r="D547" i="8"/>
  <c r="D546" i="8"/>
  <c r="G90" i="1"/>
  <c r="A90" i="1"/>
  <c r="D561" i="8"/>
  <c r="D560" i="8"/>
  <c r="G94" i="1"/>
  <c r="A94" i="1"/>
  <c r="G96" i="1"/>
  <c r="A96" i="1"/>
  <c r="G98" i="1"/>
  <c r="A98" i="1"/>
  <c r="G100" i="1"/>
  <c r="A100" i="1"/>
  <c r="G102" i="1"/>
  <c r="A102" i="1"/>
  <c r="G104" i="1"/>
  <c r="A104" i="1"/>
  <c r="G106" i="1"/>
  <c r="B106" i="1"/>
  <c r="A106" i="1"/>
  <c r="G108" i="1"/>
  <c r="B108" i="1"/>
  <c r="A108" i="1"/>
  <c r="G110" i="1"/>
  <c r="B110" i="1"/>
  <c r="A110" i="1"/>
  <c r="D701" i="8"/>
  <c r="D700" i="8"/>
  <c r="I223" i="8"/>
  <c r="H223" i="8" s="1"/>
  <c r="I226" i="8"/>
  <c r="H226" i="8" s="1"/>
  <c r="I224" i="8"/>
  <c r="H224" i="8" s="1"/>
  <c r="L83" i="10"/>
  <c r="K83" i="10" s="1"/>
  <c r="L84" i="10"/>
  <c r="K84" i="10" s="1"/>
  <c r="I280" i="8"/>
  <c r="H280" i="8" s="1"/>
  <c r="I277" i="8"/>
  <c r="H277" i="8" s="1"/>
  <c r="I282" i="8"/>
  <c r="H282" i="8" s="1"/>
  <c r="I279" i="8"/>
  <c r="H279" i="8" s="1"/>
  <c r="L99" i="10"/>
  <c r="K99" i="10" s="1"/>
  <c r="L100" i="10"/>
  <c r="K100" i="10" s="1"/>
  <c r="I336" i="8"/>
  <c r="H336" i="8" s="1"/>
  <c r="I333" i="8"/>
  <c r="H333" i="8" s="1"/>
  <c r="I337" i="8"/>
  <c r="H337" i="8" s="1"/>
  <c r="I338" i="8"/>
  <c r="H338" i="8" s="1"/>
  <c r="I335" i="8"/>
  <c r="H335" i="8" s="1"/>
  <c r="L115" i="10"/>
  <c r="K115" i="10" s="1"/>
  <c r="L116" i="10"/>
  <c r="K116" i="10" s="1"/>
  <c r="L123" i="10"/>
  <c r="K123" i="10" s="1"/>
  <c r="L124" i="10"/>
  <c r="K124" i="10" s="1"/>
  <c r="I392" i="8"/>
  <c r="H392" i="8" s="1"/>
  <c r="I389" i="8"/>
  <c r="H389" i="8" s="1"/>
  <c r="I393" i="8"/>
  <c r="H393" i="8" s="1"/>
  <c r="I394" i="8"/>
  <c r="H394" i="8" s="1"/>
  <c r="I391" i="8"/>
  <c r="H391" i="8" s="1"/>
  <c r="I390" i="8"/>
  <c r="H390" i="8" s="1"/>
  <c r="L139" i="10"/>
  <c r="K139" i="10" s="1"/>
  <c r="L140" i="10"/>
  <c r="K140" i="10" s="1"/>
  <c r="I448" i="8"/>
  <c r="H448" i="8" s="1"/>
  <c r="I445" i="8"/>
  <c r="H445" i="8" s="1"/>
  <c r="I449" i="8"/>
  <c r="H449" i="8" s="1"/>
  <c r="I450" i="8"/>
  <c r="H450" i="8" s="1"/>
  <c r="I447" i="8"/>
  <c r="H447" i="8" s="1"/>
  <c r="I446" i="8"/>
  <c r="H446" i="8" s="1"/>
  <c r="L155" i="10"/>
  <c r="K155" i="10" s="1"/>
  <c r="L156" i="10"/>
  <c r="K156" i="10" s="1"/>
  <c r="I502" i="8"/>
  <c r="H502" i="8" s="1"/>
  <c r="I506" i="8"/>
  <c r="H506" i="8" s="1"/>
  <c r="I503" i="8"/>
  <c r="H503" i="8" s="1"/>
  <c r="I504" i="8"/>
  <c r="H504" i="8" s="1"/>
  <c r="I505" i="8"/>
  <c r="H505" i="8" s="1"/>
  <c r="I501" i="8"/>
  <c r="H501" i="8" s="1"/>
  <c r="L171" i="10"/>
  <c r="K171" i="10" s="1"/>
  <c r="L172" i="10"/>
  <c r="K172" i="10" s="1"/>
  <c r="I558" i="8"/>
  <c r="H558" i="8" s="1"/>
  <c r="I562" i="8"/>
  <c r="H562" i="8" s="1"/>
  <c r="I559" i="8"/>
  <c r="H559" i="8" s="1"/>
  <c r="I560" i="8"/>
  <c r="H560" i="8" s="1"/>
  <c r="I561" i="8"/>
  <c r="H561" i="8" s="1"/>
  <c r="I557" i="8"/>
  <c r="H557" i="8" s="1"/>
  <c r="L187" i="10"/>
  <c r="K187" i="10" s="1"/>
  <c r="L188" i="10"/>
  <c r="K188" i="10" s="1"/>
  <c r="I615" i="8"/>
  <c r="H615" i="8" s="1"/>
  <c r="I616" i="8"/>
  <c r="H616" i="8" s="1"/>
  <c r="I613" i="8"/>
  <c r="H613" i="8" s="1"/>
  <c r="I618" i="8"/>
  <c r="H618" i="8" s="1"/>
  <c r="I617" i="8"/>
  <c r="H617" i="8" s="1"/>
  <c r="I614" i="8"/>
  <c r="H614" i="8" s="1"/>
  <c r="I643" i="8"/>
  <c r="H643" i="8" s="1"/>
  <c r="I644" i="8"/>
  <c r="H644" i="8" s="1"/>
  <c r="I641" i="8"/>
  <c r="H641" i="8" s="1"/>
  <c r="I646" i="8"/>
  <c r="H646" i="8" s="1"/>
  <c r="I645" i="8"/>
  <c r="H645" i="8" s="1"/>
  <c r="I642" i="8"/>
  <c r="H642" i="8" s="1"/>
  <c r="I671" i="8"/>
  <c r="H671" i="8" s="1"/>
  <c r="I672" i="8"/>
  <c r="H672" i="8" s="1"/>
  <c r="I669" i="8"/>
  <c r="H669" i="8" s="1"/>
  <c r="I674" i="8"/>
  <c r="H674" i="8" s="1"/>
  <c r="I673" i="8"/>
  <c r="H673" i="8" s="1"/>
  <c r="I670" i="8"/>
  <c r="H670" i="8" s="1"/>
  <c r="I699" i="8"/>
  <c r="H699" i="8" s="1"/>
  <c r="I700" i="8"/>
  <c r="H700" i="8" s="1"/>
  <c r="I697" i="8"/>
  <c r="H697" i="8" s="1"/>
  <c r="I702" i="8"/>
  <c r="H702" i="8" s="1"/>
  <c r="I701" i="8"/>
  <c r="H701" i="8" s="1"/>
  <c r="I698" i="8"/>
  <c r="H698" i="8" s="1"/>
  <c r="I235" i="8"/>
  <c r="H235" i="8" s="1"/>
  <c r="I239" i="8"/>
  <c r="H239" i="8" s="1"/>
  <c r="I238" i="8"/>
  <c r="H238" i="8" s="1"/>
  <c r="I237" i="8"/>
  <c r="H237" i="8" s="1"/>
  <c r="I240" i="8"/>
  <c r="H240" i="8" s="1"/>
  <c r="L87" i="10"/>
  <c r="K87" i="10" s="1"/>
  <c r="L88" i="10"/>
  <c r="K88" i="10" s="1"/>
  <c r="I296" i="8"/>
  <c r="H296" i="8" s="1"/>
  <c r="I293" i="8"/>
  <c r="H293" i="8" s="1"/>
  <c r="I291" i="8"/>
  <c r="H291" i="8" s="1"/>
  <c r="I294" i="8"/>
  <c r="H294" i="8" s="1"/>
  <c r="I295" i="8"/>
  <c r="H295" i="8" s="1"/>
  <c r="L103" i="10"/>
  <c r="K103" i="10" s="1"/>
  <c r="L104" i="10"/>
  <c r="K104" i="10" s="1"/>
  <c r="I348" i="8"/>
  <c r="H348" i="8" s="1"/>
  <c r="I352" i="8"/>
  <c r="H352" i="8" s="1"/>
  <c r="I349" i="8"/>
  <c r="H349" i="8" s="1"/>
  <c r="I347" i="8"/>
  <c r="H347" i="8" s="1"/>
  <c r="I350" i="8"/>
  <c r="H350" i="8" s="1"/>
  <c r="I351" i="8"/>
  <c r="H351" i="8" s="1"/>
  <c r="L119" i="10"/>
  <c r="K119" i="10" s="1"/>
  <c r="L120" i="10"/>
  <c r="K120" i="10" s="1"/>
  <c r="L127" i="10"/>
  <c r="K127" i="10" s="1"/>
  <c r="L128" i="10"/>
  <c r="K128" i="10" s="1"/>
  <c r="I408" i="8"/>
  <c r="H408" i="8" s="1"/>
  <c r="I405" i="8"/>
  <c r="H405" i="8" s="1"/>
  <c r="I403" i="8"/>
  <c r="H403" i="8" s="1"/>
  <c r="I406" i="8"/>
  <c r="H406" i="8" s="1"/>
  <c r="I407" i="8"/>
  <c r="H407" i="8" s="1"/>
  <c r="L143" i="10"/>
  <c r="K143" i="10" s="1"/>
  <c r="L144" i="10"/>
  <c r="K144" i="10" s="1"/>
  <c r="I462" i="8"/>
  <c r="H462" i="8" s="1"/>
  <c r="I459" i="8"/>
  <c r="H459" i="8" s="1"/>
  <c r="I463" i="8"/>
  <c r="H463" i="8" s="1"/>
  <c r="I460" i="8"/>
  <c r="H460" i="8" s="1"/>
  <c r="I461" i="8"/>
  <c r="H461" i="8" s="1"/>
  <c r="I464" i="8"/>
  <c r="H464" i="8" s="1"/>
  <c r="L159" i="10"/>
  <c r="K159" i="10" s="1"/>
  <c r="L160" i="10"/>
  <c r="K160" i="10" s="1"/>
  <c r="I518" i="8"/>
  <c r="H518" i="8" s="1"/>
  <c r="I515" i="8"/>
  <c r="H515" i="8" s="1"/>
  <c r="I519" i="8"/>
  <c r="H519" i="8" s="1"/>
  <c r="I516" i="8"/>
  <c r="H516" i="8" s="1"/>
  <c r="I517" i="8"/>
  <c r="H517" i="8" s="1"/>
  <c r="I520" i="8"/>
  <c r="H520" i="8" s="1"/>
  <c r="L175" i="10"/>
  <c r="K175" i="10" s="1"/>
  <c r="L176" i="10"/>
  <c r="K176" i="10" s="1"/>
  <c r="I574" i="8"/>
  <c r="H574" i="8" s="1"/>
  <c r="I571" i="8"/>
  <c r="H571" i="8" s="1"/>
  <c r="I575" i="8"/>
  <c r="H575" i="8" s="1"/>
  <c r="I572" i="8"/>
  <c r="H572" i="8" s="1"/>
  <c r="I573" i="8"/>
  <c r="H573" i="8" s="1"/>
  <c r="I576" i="8"/>
  <c r="H576" i="8" s="1"/>
  <c r="L191" i="10"/>
  <c r="K191" i="10" s="1"/>
  <c r="L192" i="10"/>
  <c r="K192" i="10" s="1"/>
  <c r="I629" i="8"/>
  <c r="H629" i="8" s="1"/>
  <c r="I632" i="8"/>
  <c r="H632" i="8" s="1"/>
  <c r="I628" i="8"/>
  <c r="H628" i="8" s="1"/>
  <c r="I627" i="8"/>
  <c r="H627" i="8" s="1"/>
  <c r="I631" i="8"/>
  <c r="H631" i="8" s="1"/>
  <c r="I630" i="8"/>
  <c r="H630" i="8" s="1"/>
  <c r="I657" i="8"/>
  <c r="H657" i="8" s="1"/>
  <c r="I660" i="8"/>
  <c r="H660" i="8" s="1"/>
  <c r="I656" i="8"/>
  <c r="H656" i="8" s="1"/>
  <c r="I655" i="8"/>
  <c r="H655" i="8" s="1"/>
  <c r="I659" i="8"/>
  <c r="H659" i="8" s="1"/>
  <c r="I658" i="8"/>
  <c r="H658" i="8" s="1"/>
  <c r="I685" i="8"/>
  <c r="H685" i="8" s="1"/>
  <c r="I688" i="8"/>
  <c r="H688" i="8" s="1"/>
  <c r="I684" i="8"/>
  <c r="H684" i="8" s="1"/>
  <c r="I683" i="8"/>
  <c r="H683" i="8" s="1"/>
  <c r="I687" i="8"/>
  <c r="H687" i="8" s="1"/>
  <c r="I686" i="8"/>
  <c r="H686" i="8" s="1"/>
  <c r="G29" i="1"/>
  <c r="L29" i="1" s="1"/>
  <c r="K29" i="1" s="1"/>
  <c r="A29" i="1"/>
  <c r="G33" i="1"/>
  <c r="L33" i="1" s="1"/>
  <c r="K33" i="1" s="1"/>
  <c r="A33" i="1"/>
  <c r="G37" i="1"/>
  <c r="L37" i="1" s="1"/>
  <c r="K37" i="1" s="1"/>
  <c r="B37" i="1"/>
  <c r="D246" i="8"/>
  <c r="I246" i="8" s="1"/>
  <c r="H246" i="8" s="1"/>
  <c r="D245" i="8"/>
  <c r="I245" i="8" s="1"/>
  <c r="H245" i="8" s="1"/>
  <c r="D274" i="8"/>
  <c r="I274" i="8" s="1"/>
  <c r="H274" i="8" s="1"/>
  <c r="D273" i="8"/>
  <c r="I273" i="8" s="1"/>
  <c r="H273" i="8" s="1"/>
  <c r="D302" i="8"/>
  <c r="I302" i="8" s="1"/>
  <c r="H302" i="8" s="1"/>
  <c r="D301" i="8"/>
  <c r="I301" i="8" s="1"/>
  <c r="H301" i="8" s="1"/>
  <c r="D330" i="8"/>
  <c r="I330" i="8" s="1"/>
  <c r="H330" i="8" s="1"/>
  <c r="D329" i="8"/>
  <c r="I329" i="8" s="1"/>
  <c r="H329" i="8" s="1"/>
  <c r="D358" i="8"/>
  <c r="I358" i="8" s="1"/>
  <c r="H358" i="8" s="1"/>
  <c r="D357" i="8"/>
  <c r="I357" i="8" s="1"/>
  <c r="H357" i="8" s="1"/>
  <c r="D386" i="8"/>
  <c r="I386" i="8" s="1"/>
  <c r="H386" i="8" s="1"/>
  <c r="D385" i="8"/>
  <c r="I385" i="8" s="1"/>
  <c r="H385" i="8" s="1"/>
  <c r="D414" i="8"/>
  <c r="D413" i="8"/>
  <c r="D442" i="8"/>
  <c r="D441" i="8"/>
  <c r="D470" i="8"/>
  <c r="D469" i="8"/>
  <c r="D512" i="8"/>
  <c r="D511" i="8"/>
  <c r="G85" i="1"/>
  <c r="B85" i="1"/>
  <c r="D540" i="8"/>
  <c r="D539" i="8"/>
  <c r="D568" i="8"/>
  <c r="D567" i="8"/>
  <c r="G93" i="1"/>
  <c r="B93" i="1"/>
  <c r="D596" i="8"/>
  <c r="D595" i="8"/>
  <c r="D624" i="8"/>
  <c r="D623" i="8"/>
  <c r="G101" i="1"/>
  <c r="B101" i="1"/>
  <c r="D652" i="8"/>
  <c r="D651" i="8"/>
  <c r="D680" i="8"/>
  <c r="D679" i="8"/>
  <c r="D18" i="8"/>
  <c r="I18" i="8" s="1"/>
  <c r="H18" i="8" s="1"/>
  <c r="D410" i="8"/>
  <c r="B54" i="10"/>
  <c r="B24" i="10"/>
  <c r="L24" i="10" s="1"/>
  <c r="K24" i="10" s="1"/>
  <c r="D642" i="8"/>
  <c r="L39" i="10"/>
  <c r="K39" i="10" s="1"/>
  <c r="D544" i="8"/>
  <c r="D292" i="8"/>
  <c r="I292" i="8" s="1"/>
  <c r="H292" i="8" s="1"/>
  <c r="D11" i="8"/>
  <c r="I11" i="8" s="1"/>
  <c r="H11" i="8" s="1"/>
  <c r="D698" i="8"/>
  <c r="D236" i="8"/>
  <c r="I236" i="8" s="1"/>
  <c r="H236" i="8" s="1"/>
  <c r="L43" i="10"/>
  <c r="K43" i="10" s="1"/>
  <c r="L31" i="10"/>
  <c r="K31" i="10" s="1"/>
  <c r="D572" i="8"/>
  <c r="D516" i="8"/>
  <c r="D460" i="8"/>
  <c r="D670" i="8"/>
  <c r="D320" i="8"/>
  <c r="I320" i="8" s="1"/>
  <c r="H320" i="8" s="1"/>
  <c r="D179" i="8"/>
  <c r="D383" i="8"/>
  <c r="I383" i="8" s="1"/>
  <c r="H383" i="8" s="1"/>
  <c r="D355" i="8"/>
  <c r="I355" i="8" s="1"/>
  <c r="H355" i="8" s="1"/>
  <c r="D327" i="8"/>
  <c r="I327" i="8" s="1"/>
  <c r="H327" i="8" s="1"/>
  <c r="D194" i="8"/>
  <c r="I20" i="8"/>
  <c r="H20" i="8" s="1"/>
  <c r="I23" i="8"/>
  <c r="H23" i="8" s="1"/>
  <c r="I37" i="8"/>
  <c r="H37" i="8" s="1"/>
  <c r="I34" i="8"/>
  <c r="H34" i="8" s="1"/>
  <c r="I48" i="8"/>
  <c r="H48" i="8" s="1"/>
  <c r="I51" i="8"/>
  <c r="H51" i="8" s="1"/>
  <c r="I76" i="8"/>
  <c r="H76" i="8" s="1"/>
  <c r="I79" i="8"/>
  <c r="H79" i="8" s="1"/>
  <c r="I93" i="8"/>
  <c r="H93" i="8" s="1"/>
  <c r="I90" i="8"/>
  <c r="H90" i="8" s="1"/>
  <c r="D14" i="8"/>
  <c r="I14" i="8" s="1"/>
  <c r="H14" i="8" s="1"/>
  <c r="D15" i="8"/>
  <c r="I15" i="8" s="1"/>
  <c r="H15" i="8" s="1"/>
  <c r="D85" i="8"/>
  <c r="I85" i="8" s="1"/>
  <c r="H85" i="8" s="1"/>
  <c r="D84" i="8"/>
  <c r="I84" i="8" s="1"/>
  <c r="H84" i="8" s="1"/>
  <c r="D99" i="8"/>
  <c r="I99" i="8" s="1"/>
  <c r="H99" i="8" s="1"/>
  <c r="D98" i="8"/>
  <c r="I98" i="8" s="1"/>
  <c r="H98" i="8" s="1"/>
  <c r="G23" i="1"/>
  <c r="L23" i="1" s="1"/>
  <c r="K23" i="1" s="1"/>
  <c r="B23" i="1"/>
  <c r="G25" i="1"/>
  <c r="L25" i="1" s="1"/>
  <c r="K25" i="1" s="1"/>
  <c r="B25" i="1"/>
  <c r="A25" i="1"/>
  <c r="D28" i="8"/>
  <c r="I28" i="8" s="1"/>
  <c r="H28" i="8" s="1"/>
  <c r="D29" i="8"/>
  <c r="I29" i="8" s="1"/>
  <c r="H29" i="8" s="1"/>
  <c r="G16" i="1"/>
  <c r="L16" i="1" s="1"/>
  <c r="K16" i="1" s="1"/>
  <c r="B16" i="1"/>
  <c r="D42" i="8"/>
  <c r="I42" i="8" s="1"/>
  <c r="H42" i="8" s="1"/>
  <c r="D43" i="8"/>
  <c r="I43" i="8" s="1"/>
  <c r="H43" i="8" s="1"/>
  <c r="G18" i="1"/>
  <c r="L18" i="1" s="1"/>
  <c r="K18" i="1" s="1"/>
  <c r="B18" i="1"/>
  <c r="D56" i="8"/>
  <c r="I56" i="8" s="1"/>
  <c r="H56" i="8" s="1"/>
  <c r="D57" i="8"/>
  <c r="I57" i="8" s="1"/>
  <c r="H57" i="8" s="1"/>
  <c r="G20" i="1"/>
  <c r="L20" i="1" s="1"/>
  <c r="K20" i="1" s="1"/>
  <c r="B20" i="1"/>
  <c r="D70" i="8"/>
  <c r="I70" i="8" s="1"/>
  <c r="H70" i="8" s="1"/>
  <c r="D71" i="8"/>
  <c r="I71" i="8" s="1"/>
  <c r="H71" i="8" s="1"/>
  <c r="G22" i="1"/>
  <c r="L22" i="1" s="1"/>
  <c r="K22" i="1" s="1"/>
  <c r="B22" i="1"/>
  <c r="G24" i="1"/>
  <c r="L24" i="1" s="1"/>
  <c r="K24" i="1" s="1"/>
  <c r="B24" i="1"/>
  <c r="G26" i="1"/>
  <c r="L26" i="1" s="1"/>
  <c r="K26" i="1" s="1"/>
  <c r="B26" i="1"/>
  <c r="I16" i="8"/>
  <c r="H16" i="8" s="1"/>
  <c r="I13" i="8"/>
  <c r="H13" i="8" s="1"/>
  <c r="I27" i="8"/>
  <c r="H27" i="8" s="1"/>
  <c r="I30" i="8"/>
  <c r="H30" i="8" s="1"/>
  <c r="I44" i="8"/>
  <c r="H44" i="8" s="1"/>
  <c r="I41" i="8"/>
  <c r="H41" i="8" s="1"/>
  <c r="I55" i="8"/>
  <c r="H55" i="8" s="1"/>
  <c r="I58" i="8"/>
  <c r="H58" i="8" s="1"/>
  <c r="I72" i="8"/>
  <c r="H72" i="8" s="1"/>
  <c r="I69" i="8"/>
  <c r="H69" i="8" s="1"/>
  <c r="I83" i="8"/>
  <c r="H83" i="8" s="1"/>
  <c r="I86" i="8"/>
  <c r="H86" i="8" s="1"/>
  <c r="I100" i="8"/>
  <c r="H100" i="8" s="1"/>
  <c r="I97" i="8"/>
  <c r="H97" i="8" s="1"/>
  <c r="D21" i="8"/>
  <c r="I21" i="8" s="1"/>
  <c r="H21" i="8" s="1"/>
  <c r="D22" i="8"/>
  <c r="I22" i="8" s="1"/>
  <c r="H22" i="8" s="1"/>
  <c r="G15" i="1"/>
  <c r="L15" i="1" s="1"/>
  <c r="K15" i="1" s="1"/>
  <c r="A15" i="1"/>
  <c r="B15" i="1"/>
  <c r="D35" i="8"/>
  <c r="I35" i="8" s="1"/>
  <c r="H35" i="8" s="1"/>
  <c r="D36" i="8"/>
  <c r="I36" i="8" s="1"/>
  <c r="H36" i="8" s="1"/>
  <c r="G17" i="1"/>
  <c r="L17" i="1" s="1"/>
  <c r="K17" i="1" s="1"/>
  <c r="A17" i="1"/>
  <c r="D49" i="8"/>
  <c r="I49" i="8" s="1"/>
  <c r="H49" i="8" s="1"/>
  <c r="D50" i="8"/>
  <c r="I50" i="8" s="1"/>
  <c r="H50" i="8" s="1"/>
  <c r="G19" i="1"/>
  <c r="L19" i="1" s="1"/>
  <c r="K19" i="1" s="1"/>
  <c r="B19" i="1"/>
  <c r="G21" i="1"/>
  <c r="L21" i="1" s="1"/>
  <c r="K21" i="1" s="1"/>
  <c r="A21" i="1"/>
  <c r="B21" i="1"/>
  <c r="D78" i="8"/>
  <c r="I78" i="8" s="1"/>
  <c r="H78" i="8" s="1"/>
  <c r="D77" i="8"/>
  <c r="I77" i="8" s="1"/>
  <c r="H77" i="8" s="1"/>
  <c r="D92" i="8"/>
  <c r="I92" i="8" s="1"/>
  <c r="H92" i="8" s="1"/>
  <c r="D91" i="8"/>
  <c r="I91" i="8" s="1"/>
  <c r="H91" i="8" s="1"/>
  <c r="B62" i="10"/>
  <c r="L62" i="10" s="1"/>
  <c r="K62" i="10" s="1"/>
  <c r="B38" i="10"/>
  <c r="L38" i="10" s="1"/>
  <c r="K38" i="10" s="1"/>
  <c r="B74" i="10"/>
  <c r="L74" i="10" s="1"/>
  <c r="K74" i="10" s="1"/>
  <c r="B64" i="10"/>
  <c r="L64" i="10" s="1"/>
  <c r="K64" i="10" s="1"/>
  <c r="B56" i="10"/>
  <c r="L56" i="10" s="1"/>
  <c r="K56" i="10" s="1"/>
  <c r="B66" i="10"/>
  <c r="L66" i="10" s="1"/>
  <c r="K66" i="10" s="1"/>
  <c r="B68" i="10"/>
  <c r="L68" i="10" s="1"/>
  <c r="K68" i="10" s="1"/>
  <c r="L37" i="10"/>
  <c r="K37" i="10" s="1"/>
  <c r="L55" i="10"/>
  <c r="K55" i="10" s="1"/>
  <c r="L63" i="10"/>
  <c r="K63" i="10" s="1"/>
  <c r="L72" i="10"/>
  <c r="K72" i="10" s="1"/>
  <c r="L71" i="10"/>
  <c r="K71" i="10" s="1"/>
  <c r="L79" i="10"/>
  <c r="K79" i="10" s="1"/>
  <c r="L80" i="10"/>
  <c r="K80" i="10" s="1"/>
  <c r="L58" i="10"/>
  <c r="K58" i="10" s="1"/>
  <c r="L57" i="10"/>
  <c r="K57" i="10" s="1"/>
  <c r="L61" i="10"/>
  <c r="K61" i="10" s="1"/>
  <c r="L65" i="10"/>
  <c r="K65" i="10" s="1"/>
  <c r="L70" i="10"/>
  <c r="K70" i="10" s="1"/>
  <c r="L69" i="10"/>
  <c r="K69" i="10" s="1"/>
  <c r="L73" i="10"/>
  <c r="K73" i="10" s="1"/>
  <c r="L77" i="10"/>
  <c r="K77" i="10" s="1"/>
  <c r="L78" i="10"/>
  <c r="K78" i="10" s="1"/>
  <c r="L60" i="10"/>
  <c r="K60" i="10" s="1"/>
  <c r="L59" i="10"/>
  <c r="K59" i="10" s="1"/>
  <c r="L67" i="10"/>
  <c r="K67" i="10" s="1"/>
  <c r="L75" i="10"/>
  <c r="K75" i="10" s="1"/>
  <c r="L76" i="10"/>
  <c r="K76" i="10" s="1"/>
  <c r="L54" i="10"/>
  <c r="K54" i="10" s="1"/>
  <c r="L53" i="10"/>
  <c r="K53" i="10" s="1"/>
  <c r="I32" i="8"/>
  <c r="H32" i="8" s="1"/>
  <c r="I88" i="8"/>
  <c r="H88" i="8" s="1"/>
  <c r="I19" i="8"/>
  <c r="H19" i="8" s="1"/>
  <c r="I47" i="8"/>
  <c r="H47" i="8" s="1"/>
  <c r="I142" i="8"/>
  <c r="H142" i="8" s="1"/>
  <c r="I139" i="8"/>
  <c r="H139" i="8" s="1"/>
  <c r="I137" i="8"/>
  <c r="H137" i="8" s="1"/>
  <c r="I170" i="8"/>
  <c r="H170" i="8" s="1"/>
  <c r="I167" i="8"/>
  <c r="H167" i="8" s="1"/>
  <c r="I193" i="8"/>
  <c r="H193" i="8" s="1"/>
  <c r="I195" i="8"/>
  <c r="H195" i="8" s="1"/>
  <c r="I194" i="8"/>
  <c r="H194" i="8" s="1"/>
  <c r="I198" i="8"/>
  <c r="H198" i="8" s="1"/>
  <c r="I116" i="8"/>
  <c r="H116" i="8" s="1"/>
  <c r="I118" i="8"/>
  <c r="H118" i="8" s="1"/>
  <c r="I117" i="8"/>
  <c r="H117" i="8" s="1"/>
  <c r="I121" i="8"/>
  <c r="H121" i="8" s="1"/>
  <c r="I74" i="8"/>
  <c r="H74" i="8" s="1"/>
  <c r="I102" i="8"/>
  <c r="H102" i="8" s="1"/>
  <c r="I26" i="8"/>
  <c r="H26" i="8" s="1"/>
  <c r="I81" i="8"/>
  <c r="H81" i="8" s="1"/>
  <c r="D431" i="8"/>
  <c r="D614" i="8"/>
  <c r="D586" i="8"/>
  <c r="D558" i="8"/>
  <c r="D530" i="8"/>
  <c r="D502" i="8"/>
  <c r="D474" i="8"/>
  <c r="D334" i="8"/>
  <c r="I334" i="8" s="1"/>
  <c r="H334" i="8" s="1"/>
  <c r="D306" i="8"/>
  <c r="I306" i="8" s="1"/>
  <c r="H306" i="8" s="1"/>
  <c r="D250" i="8"/>
  <c r="I250" i="8" s="1"/>
  <c r="H250" i="8" s="1"/>
  <c r="D46" i="8"/>
  <c r="I75" i="8"/>
  <c r="H75" i="8" s="1"/>
  <c r="I89" i="8"/>
  <c r="H89" i="8" s="1"/>
  <c r="I103" i="8"/>
  <c r="H103" i="8" s="1"/>
  <c r="D663" i="8"/>
  <c r="D438" i="8"/>
  <c r="I12" i="8"/>
  <c r="H12" i="8" s="1"/>
  <c r="I40" i="8"/>
  <c r="H40" i="8" s="1"/>
  <c r="I33" i="8"/>
  <c r="H33" i="8" s="1"/>
  <c r="I60" i="8"/>
  <c r="H60" i="8" s="1"/>
  <c r="I62" i="8"/>
  <c r="H62" i="8" s="1"/>
  <c r="I61" i="8"/>
  <c r="H61" i="8" s="1"/>
  <c r="I65" i="8"/>
  <c r="H65" i="8" s="1"/>
  <c r="I124" i="8"/>
  <c r="H124" i="8" s="1"/>
  <c r="I128" i="8"/>
  <c r="H128" i="8" s="1"/>
  <c r="I123" i="8"/>
  <c r="H123" i="8" s="1"/>
  <c r="I125" i="8"/>
  <c r="H125" i="8" s="1"/>
  <c r="I156" i="8"/>
  <c r="H156" i="8" s="1"/>
  <c r="I153" i="8"/>
  <c r="H153" i="8" s="1"/>
  <c r="I179" i="8"/>
  <c r="H179" i="8" s="1"/>
  <c r="I181" i="8"/>
  <c r="H181" i="8" s="1"/>
  <c r="I180" i="8"/>
  <c r="H180" i="8" s="1"/>
  <c r="I184" i="8"/>
  <c r="H184" i="8" s="1"/>
  <c r="I209" i="8"/>
  <c r="H209" i="8" s="1"/>
  <c r="I212" i="8"/>
  <c r="H212" i="8" s="1"/>
  <c r="I130" i="8"/>
  <c r="H130" i="8" s="1"/>
  <c r="I132" i="8"/>
  <c r="H132" i="8" s="1"/>
  <c r="I131" i="8"/>
  <c r="H131" i="8" s="1"/>
  <c r="I135" i="8"/>
  <c r="H135" i="8" s="1"/>
  <c r="I144" i="8"/>
  <c r="H144" i="8" s="1"/>
  <c r="I146" i="8"/>
  <c r="H146" i="8" s="1"/>
  <c r="I145" i="8"/>
  <c r="H145" i="8" s="1"/>
  <c r="I149" i="8"/>
  <c r="H149" i="8" s="1"/>
  <c r="I158" i="8"/>
  <c r="H158" i="8" s="1"/>
  <c r="I160" i="8"/>
  <c r="H160" i="8" s="1"/>
  <c r="I159" i="8"/>
  <c r="H159" i="8" s="1"/>
  <c r="I163" i="8"/>
  <c r="H163" i="8" s="1"/>
  <c r="I172" i="8"/>
  <c r="H172" i="8" s="1"/>
  <c r="I174" i="8"/>
  <c r="H174" i="8" s="1"/>
  <c r="I173" i="8"/>
  <c r="H173" i="8" s="1"/>
  <c r="I177" i="8"/>
  <c r="H177" i="8" s="1"/>
  <c r="I187" i="8"/>
  <c r="H187" i="8" s="1"/>
  <c r="I191" i="8"/>
  <c r="H191" i="8" s="1"/>
  <c r="I186" i="8"/>
  <c r="H186" i="8" s="1"/>
  <c r="I188" i="8"/>
  <c r="H188" i="8" s="1"/>
  <c r="I201" i="8"/>
  <c r="H201" i="8" s="1"/>
  <c r="I205" i="8"/>
  <c r="H205" i="8" s="1"/>
  <c r="I200" i="8"/>
  <c r="H200" i="8" s="1"/>
  <c r="I202" i="8"/>
  <c r="H202" i="8" s="1"/>
  <c r="D138" i="8"/>
  <c r="D82" i="8"/>
  <c r="D25" i="8"/>
  <c r="D119" i="8"/>
  <c r="D120" i="8"/>
  <c r="D169" i="8"/>
  <c r="D168" i="8"/>
  <c r="I168" i="8" s="1"/>
  <c r="H168" i="8" s="1"/>
  <c r="D134" i="8"/>
  <c r="I134" i="8" s="1"/>
  <c r="H134" i="8" s="1"/>
  <c r="D133" i="8"/>
  <c r="D147" i="8"/>
  <c r="I147" i="8" s="1"/>
  <c r="H147" i="8" s="1"/>
  <c r="D148" i="8"/>
  <c r="D162" i="8"/>
  <c r="I162" i="8" s="1"/>
  <c r="H162" i="8" s="1"/>
  <c r="D161" i="8"/>
  <c r="D175" i="8"/>
  <c r="I175" i="8" s="1"/>
  <c r="H175" i="8" s="1"/>
  <c r="D176" i="8"/>
  <c r="D190" i="8"/>
  <c r="I190" i="8" s="1"/>
  <c r="H190" i="8" s="1"/>
  <c r="D189" i="8"/>
  <c r="D204" i="8"/>
  <c r="I204" i="8" s="1"/>
  <c r="H204" i="8" s="1"/>
  <c r="D203" i="8"/>
  <c r="D127" i="8"/>
  <c r="D126" i="8"/>
  <c r="I126" i="8" s="1"/>
  <c r="H126" i="8" s="1"/>
  <c r="D141" i="8"/>
  <c r="D140" i="8"/>
  <c r="I140" i="8" s="1"/>
  <c r="H140" i="8" s="1"/>
  <c r="D155" i="8"/>
  <c r="D154" i="8"/>
  <c r="I154" i="8" s="1"/>
  <c r="H154" i="8" s="1"/>
  <c r="D183" i="8"/>
  <c r="D182" i="8"/>
  <c r="D197" i="8"/>
  <c r="D196" i="8"/>
  <c r="D211" i="8"/>
  <c r="D210" i="8"/>
  <c r="D64" i="8"/>
  <c r="I64" i="8" s="1"/>
  <c r="H64" i="8" s="1"/>
  <c r="D63" i="8"/>
  <c r="I63" i="8" s="1"/>
  <c r="H63" i="8" s="1"/>
  <c r="D68" i="8"/>
  <c r="D67" i="8"/>
  <c r="D95" i="8"/>
  <c r="D96" i="8"/>
  <c r="D152" i="8"/>
  <c r="D151" i="8"/>
  <c r="I151" i="8" s="1"/>
  <c r="H151" i="8" s="1"/>
  <c r="D207" i="8"/>
  <c r="D208" i="8"/>
  <c r="I208" i="8" s="1"/>
  <c r="H208" i="8" s="1"/>
  <c r="D263" i="8"/>
  <c r="I263" i="8" s="1"/>
  <c r="H263" i="8" s="1"/>
  <c r="D264" i="8"/>
  <c r="I264" i="8" s="1"/>
  <c r="H264" i="8" s="1"/>
  <c r="D39" i="8"/>
  <c r="D54" i="8"/>
  <c r="D53" i="8"/>
  <c r="D109" i="8"/>
  <c r="D110" i="8"/>
  <c r="D165" i="8"/>
  <c r="D166" i="8"/>
  <c r="D221" i="8"/>
  <c r="I221" i="8" s="1"/>
  <c r="H221" i="8" s="1"/>
  <c r="D222" i="8"/>
  <c r="I222" i="8" s="1"/>
  <c r="H222" i="8" s="1"/>
  <c r="D404" i="8"/>
  <c r="I404" i="8" s="1"/>
  <c r="H404" i="8" s="1"/>
  <c r="D684" i="8"/>
  <c r="D656" i="8"/>
  <c r="D278" i="8"/>
  <c r="I278" i="8" s="1"/>
  <c r="H278" i="8" s="1"/>
  <c r="D7" i="12" l="1"/>
  <c r="E7" i="12" s="1"/>
  <c r="J7" i="12" s="1"/>
  <c r="I7" i="12" s="1"/>
  <c r="D9" i="11"/>
  <c r="H9" i="11" s="1"/>
  <c r="H2" i="11"/>
  <c r="B5" i="1"/>
  <c r="B9" i="1"/>
  <c r="I110" i="8"/>
  <c r="H110" i="8" s="1"/>
  <c r="I53" i="8"/>
  <c r="H53" i="8" s="1"/>
  <c r="I39" i="8"/>
  <c r="H39" i="8" s="1"/>
  <c r="I95" i="8"/>
  <c r="H95" i="8" s="1"/>
  <c r="I68" i="8"/>
  <c r="H68" i="8" s="1"/>
  <c r="I82" i="8"/>
  <c r="H82" i="8" s="1"/>
  <c r="I203" i="8"/>
  <c r="H203" i="8" s="1"/>
  <c r="I189" i="8"/>
  <c r="H189" i="8" s="1"/>
  <c r="I161" i="8"/>
  <c r="H161" i="8" s="1"/>
  <c r="I133" i="8"/>
  <c r="H133" i="8" s="1"/>
  <c r="I119" i="8"/>
  <c r="H119" i="8" s="1"/>
  <c r="I169" i="8"/>
  <c r="H169" i="8" s="1"/>
  <c r="I141" i="8"/>
  <c r="H141" i="8" s="1"/>
  <c r="I109" i="8"/>
  <c r="H109" i="8" s="1"/>
  <c r="I54" i="8"/>
  <c r="H54" i="8" s="1"/>
  <c r="I96" i="8"/>
  <c r="H96" i="8" s="1"/>
  <c r="I67" i="8"/>
  <c r="H67" i="8" s="1"/>
  <c r="I25" i="8"/>
  <c r="H25" i="8" s="1"/>
  <c r="I176" i="8"/>
  <c r="H176" i="8" s="1"/>
  <c r="I148" i="8"/>
  <c r="H148" i="8" s="1"/>
  <c r="I210" i="8"/>
  <c r="H210" i="8" s="1"/>
  <c r="I211" i="8"/>
  <c r="H211" i="8" s="1"/>
  <c r="I207" i="8"/>
  <c r="H207" i="8" s="1"/>
  <c r="I182" i="8"/>
  <c r="H182" i="8" s="1"/>
  <c r="I183" i="8"/>
  <c r="H183" i="8" s="1"/>
  <c r="I155" i="8"/>
  <c r="H155" i="8" s="1"/>
  <c r="I152" i="8"/>
  <c r="H152" i="8" s="1"/>
  <c r="I127" i="8"/>
  <c r="H127" i="8" s="1"/>
  <c r="I46" i="8"/>
  <c r="H46" i="8" s="1"/>
  <c r="I120" i="8"/>
  <c r="H120" i="8" s="1"/>
  <c r="I196" i="8"/>
  <c r="H196" i="8" s="1"/>
  <c r="I197" i="8"/>
  <c r="H197" i="8" s="1"/>
  <c r="I165" i="8"/>
  <c r="H165" i="8" s="1"/>
  <c r="I166" i="8"/>
  <c r="H166" i="8" s="1"/>
  <c r="I138" i="8"/>
  <c r="H138" i="8" s="1"/>
  <c r="L12" i="1" l="1"/>
  <c r="K12" i="1" s="1"/>
</calcChain>
</file>

<file path=xl/comments1.xml><?xml version="1.0" encoding="utf-8"?>
<comments xmlns="http://schemas.openxmlformats.org/spreadsheetml/2006/main">
  <authors>
    <author>Felipe Alves</author>
  </authors>
  <commentList>
    <comment ref="D3" authorId="0">
      <text>
        <r>
          <rPr>
            <b/>
            <sz val="9"/>
            <color indexed="81"/>
            <rFont val="Tahoma"/>
            <charset val="1"/>
          </rPr>
          <t>Nome da TABELA no MySQL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<sst xmlns="http://schemas.openxmlformats.org/spreadsheetml/2006/main" count="2035" uniqueCount="170">
  <si>
    <t>sql.Parameters.AddWithValue("@</t>
  </si>
  <si>
    <t>);</t>
  </si>
  <si>
    <t>string</t>
  </si>
  <si>
    <t>bool</t>
  </si>
  <si>
    <t>NOME</t>
  </si>
  <si>
    <t>C#</t>
  </si>
  <si>
    <t>CONVERSÃO</t>
  </si>
  <si>
    <t>MYSQL</t>
  </si>
  <si>
    <t>Texto</t>
  </si>
  <si>
    <t xml:space="preserve">            using (var conn = new MySqlConnection(connStr))</t>
  </si>
  <si>
    <t xml:space="preserve">            using (var cmd = conn.CreateCommand())</t>
  </si>
  <si>
    <t xml:space="preserve">            {</t>
  </si>
  <si>
    <t xml:space="preserve">            }</t>
  </si>
  <si>
    <t>{</t>
  </si>
  <si>
    <t>Nome da tabela</t>
  </si>
  <si>
    <t>` ("</t>
  </si>
  <si>
    <t>Quantidade de Campos</t>
  </si>
  <si>
    <t>campos - 1º Parte</t>
  </si>
  <si>
    <t>campos - 2º Parte</t>
  </si>
  <si>
    <t>var sql = new MySqlCommand("INSERT INTO `</t>
  </si>
  <si>
    <t>` (</t>
  </si>
  <si>
    <t>);", conexao);</t>
  </si>
  <si>
    <t>) VALUES (</t>
  </si>
  <si>
    <t xml:space="preserve">                sql.ExecuteScalar();</t>
  </si>
  <si>
    <t xml:space="preserve">                if (conexao.State == ConnectionState.Open)</t>
  </si>
  <si>
    <t xml:space="preserve">                {</t>
  </si>
  <si>
    <t xml:space="preserve">                    conexao.Close();</t>
  </si>
  <si>
    <t xml:space="preserve">                    conexao.Dispose();</t>
  </si>
  <si>
    <t xml:space="preserve">                }</t>
  </si>
  <si>
    <t xml:space="preserve">                sql.Dispose();</t>
  </si>
  <si>
    <t xml:space="preserve">                return true;</t>
  </si>
  <si>
    <t>CAMPO</t>
  </si>
  <si>
    <t>Tamanho</t>
  </si>
  <si>
    <t>Padrão</t>
  </si>
  <si>
    <t>Prefixo dos Campos</t>
  </si>
  <si>
    <t>Id</t>
  </si>
  <si>
    <t>Em Uso</t>
  </si>
  <si>
    <t>CÓD</t>
  </si>
  <si>
    <t>Numero</t>
  </si>
  <si>
    <t>Moeda</t>
  </si>
  <si>
    <t>Sim/Não</t>
  </si>
  <si>
    <t>int</t>
  </si>
  <si>
    <t>VARCHAR</t>
  </si>
  <si>
    <t>DECIMAL(10,2)</t>
  </si>
  <si>
    <t>INT</t>
  </si>
  <si>
    <t>BIT</t>
  </si>
  <si>
    <t>decimal</t>
  </si>
  <si>
    <t>Nenhuma definida</t>
  </si>
  <si>
    <t>TIPO DE CAMPO</t>
  </si>
  <si>
    <t>Chave</t>
  </si>
  <si>
    <t>incremento</t>
  </si>
  <si>
    <t>montagem</t>
  </si>
  <si>
    <t>Aceita Nulo</t>
  </si>
  <si>
    <t>padrao</t>
  </si>
  <si>
    <t>Nulo</t>
  </si>
  <si>
    <t>tamanho</t>
  </si>
  <si>
    <t xml:space="preserve">BINARY </t>
  </si>
  <si>
    <t>Binário</t>
  </si>
  <si>
    <t>Data</t>
  </si>
  <si>
    <t>Hora</t>
  </si>
  <si>
    <t>Data e Hora</t>
  </si>
  <si>
    <t>DATETIME</t>
  </si>
  <si>
    <t xml:space="preserve">DATE </t>
  </si>
  <si>
    <t>TIME</t>
  </si>
  <si>
    <t>"</t>
  </si>
  <si>
    <t xml:space="preserve"> + "</t>
  </si>
  <si>
    <t xml:space="preserve"> + "PRIMARY KEY (`</t>
  </si>
  <si>
    <t>`));";</t>
  </si>
  <si>
    <t>cmd.CommandText =  "CREATE TABLE IF NOT EXISTS `</t>
  </si>
  <si>
    <t xml:space="preserve">        {</t>
  </si>
  <si>
    <t xml:space="preserve">        }</t>
  </si>
  <si>
    <t>}</t>
  </si>
  <si>
    <t>;</t>
  </si>
  <si>
    <t>; }</t>
  </si>
  <si>
    <t xml:space="preserve"> = value; }</t>
  </si>
  <si>
    <t>ID</t>
  </si>
  <si>
    <t>DateTime</t>
  </si>
  <si>
    <t>COMENTÁRIO</t>
  </si>
  <si>
    <r>
      <t xml:space="preserve"> </t>
    </r>
    <r>
      <rPr>
        <sz val="11"/>
        <color rgb="FF00008B"/>
        <rFont val="Consolas"/>
        <family val="3"/>
      </rPr>
      <t>byte</t>
    </r>
    <r>
      <rPr>
        <sz val="11"/>
        <color rgb="FF000000"/>
        <rFont val="Consolas"/>
        <family val="3"/>
      </rPr>
      <t xml:space="preserve">[] </t>
    </r>
  </si>
  <si>
    <t xml:space="preserve">            try</t>
  </si>
  <si>
    <t xml:space="preserve">                if (conexao.State == ConnectionState.Closed)</t>
  </si>
  <si>
    <t xml:space="preserve">                    conexao.Open();</t>
  </si>
  <si>
    <t xml:space="preserve">                return null;</t>
  </si>
  <si>
    <t xml:space="preserve">            catch (Exception)</t>
  </si>
  <si>
    <t xml:space="preserve">                MySqlConnection conexao = new MySqlConnection(stringConnect);</t>
  </si>
  <si>
    <t>IList&lt;</t>
  </si>
  <si>
    <t>Nome da Classe</t>
  </si>
  <si>
    <t xml:space="preserve">var sql = new MySqlCommand(" Select * from </t>
  </si>
  <si>
    <t>", conexao);</t>
  </si>
  <si>
    <t>MySqlDataReader MySqlDR = sql.ExecuteReader();</t>
  </si>
  <si>
    <t>while (MySqlDR.Read())</t>
  </si>
  <si>
    <t xml:space="preserve"> = new </t>
  </si>
  <si>
    <t>();</t>
  </si>
  <si>
    <t>if (MySqlDR["</t>
  </si>
  <si>
    <t>"] != DBNull.Value)</t>
  </si>
  <si>
    <t xml:space="preserve"> = new ObservableCollection&lt;</t>
  </si>
  <si>
    <t>.Add(</t>
  </si>
  <si>
    <t xml:space="preserve">return </t>
  </si>
  <si>
    <t>MySqlDR["</t>
  </si>
  <si>
    <t>"]</t>
  </si>
  <si>
    <t>Convert.ToBoolean(???)</t>
  </si>
  <si>
    <t xml:space="preserve"> Convert.ToInt32(???)</t>
  </si>
  <si>
    <t>Convert.ToDecimal(???)</t>
  </si>
  <si>
    <t>Convert.ToDateTime(???)</t>
  </si>
  <si>
    <t>???.ToString()</t>
  </si>
  <si>
    <t>CONDIÇÃO</t>
  </si>
  <si>
    <t>TEXTO</t>
  </si>
  <si>
    <t xml:space="preserve">    private </t>
  </si>
  <si>
    <t xml:space="preserve">    public </t>
  </si>
  <si>
    <t xml:space="preserve">    {</t>
  </si>
  <si>
    <t xml:space="preserve">       get { return </t>
  </si>
  <si>
    <t xml:space="preserve">       set { </t>
  </si>
  <si>
    <t xml:space="preserve">    }</t>
  </si>
  <si>
    <t xml:space="preserve">        get { return </t>
  </si>
  <si>
    <t xml:space="preserve">        set { </t>
  </si>
  <si>
    <t xml:space="preserve">                conexao.Open();</t>
  </si>
  <si>
    <t>CÓDIGO</t>
  </si>
  <si>
    <t>FILTRO</t>
  </si>
  <si>
    <t xml:space="preserve">                return false;</t>
  </si>
  <si>
    <t xml:space="preserve">  </t>
  </si>
  <si>
    <t>// Propriedades da Classe</t>
  </si>
  <si>
    <t xml:space="preserve">    </t>
  </si>
  <si>
    <t>// Fim das Propriedades</t>
  </si>
  <si>
    <t xml:space="preserve">                sql.ExecuteNonQuery();</t>
  </si>
  <si>
    <t xml:space="preserve">                var sql = new MySqlCommand("DELETE FROM </t>
  </si>
  <si>
    <t xml:space="preserve"> WHERE </t>
  </si>
  <si>
    <t xml:space="preserve"> ", conexao);</t>
  </si>
  <si>
    <t xml:space="preserve">                sql.Parameters.AddWithValue("</t>
  </si>
  <si>
    <t xml:space="preserve">        public bool </t>
  </si>
  <si>
    <t xml:space="preserve">", </t>
  </si>
  <si>
    <t xml:space="preserve">            MySqlConnection conexao = new MySqlConnection(stringConnect);</t>
  </si>
  <si>
    <t>, string stringConnect)</t>
  </si>
  <si>
    <t>_Excluir</t>
  </si>
  <si>
    <t xml:space="preserve"> (int </t>
  </si>
  <si>
    <t xml:space="preserve">        public IList&lt;</t>
  </si>
  <si>
    <t>&gt; _ListarTodos (string stringConnect)</t>
  </si>
  <si>
    <t xml:space="preserve">     </t>
  </si>
  <si>
    <t xml:space="preserve">        public bool _Adicionar(</t>
  </si>
  <si>
    <t>" ,</t>
  </si>
  <si>
    <t xml:space="preserve">       </t>
  </si>
  <si>
    <t xml:space="preserve">                sql.Parameters.AddWithValue("@???", ?tabela?.???);</t>
  </si>
  <si>
    <t xml:space="preserve">        public bool _Editar(</t>
  </si>
  <si>
    <t xml:space="preserve">                var sql = new MySqlCommand(" UPDATE ?TABELA? SET ?ID? = @?ID? ?CAMPOS? WHERE ?ID? = @?ID? ", conexao);</t>
  </si>
  <si>
    <t>Código Interno (Chave Primária)</t>
  </si>
  <si>
    <t>CODIGO</t>
  </si>
  <si>
    <t xml:space="preserve">            string connStr = "Database=" + bancoDados + "; Data Source=" + servidor + "; Port=" + porta + "; User Id=" + usuario + "; Password=" + senha + ";";</t>
  </si>
  <si>
    <t xml:space="preserve">                conn.Open();</t>
  </si>
  <si>
    <t xml:space="preserve">                cmd.ExecuteNonQuery();</t>
  </si>
  <si>
    <t>CPOD</t>
  </si>
  <si>
    <t>CONVERSÃO (C# -&gt; MYSQL)</t>
  </si>
  <si>
    <t>CONVERSÃO (MYSQL -&gt; C#)</t>
  </si>
  <si>
    <t xml:space="preserve">    #region Propriedades</t>
  </si>
  <si>
    <t>#endregion</t>
  </si>
  <si>
    <t xml:space="preserve">            #region</t>
  </si>
  <si>
    <t xml:space="preserve">            </t>
  </si>
  <si>
    <t xml:space="preserve">        </t>
  </si>
  <si>
    <t xml:space="preserve">        #endregion</t>
  </si>
  <si>
    <t>1 DEPOIS QUE COLCOCAR CAMPO COLOCAR O TAMANHO</t>
  </si>
  <si>
    <t>SO SE FOR TEXTO</t>
  </si>
  <si>
    <t>Empresa</t>
  </si>
  <si>
    <t>E_</t>
  </si>
  <si>
    <t>EmpresaMatriz</t>
  </si>
  <si>
    <t>RazaoSocial</t>
  </si>
  <si>
    <t>CNPJ</t>
  </si>
  <si>
    <t>IE</t>
  </si>
  <si>
    <t>Endereco</t>
  </si>
  <si>
    <t>Complemento</t>
  </si>
  <si>
    <t>Estado</t>
  </si>
  <si>
    <t>Telefone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</si>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</sst>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Sim&quot;;\ &quot;Sim&quot;;\ &quot;Não&quot;"/>
    <numFmt numFmtId="165" formatCode="0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00008B"/>
      <name val="Consolas"/>
      <family val="3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0" borderId="0" xfId="0" applyAlignment="1">
      <alignment horizontal="left"/>
    </xf>
    <xf numFmtId="0" fontId="0" fillId="6" borderId="0" xfId="0" applyFill="1"/>
    <xf numFmtId="165" fontId="0" fillId="0" borderId="0" xfId="0" applyNumberFormat="1" applyAlignment="1">
      <alignment horizontal="center"/>
    </xf>
    <xf numFmtId="0" fontId="0" fillId="4" borderId="0" xfId="0" applyFill="1" applyAlignment="1">
      <alignment horizontal="left"/>
    </xf>
    <xf numFmtId="165" fontId="0" fillId="0" borderId="1" xfId="0" applyNumberFormat="1" applyBorder="1" applyAlignment="1">
      <alignment horizontal="center"/>
    </xf>
    <xf numFmtId="0" fontId="2" fillId="3" borderId="1" xfId="0" applyFont="1" applyFill="1" applyBorder="1"/>
    <xf numFmtId="0" fontId="0" fillId="0" borderId="1" xfId="0" applyBorder="1"/>
    <xf numFmtId="0" fontId="2" fillId="3" borderId="2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0" fontId="0" fillId="0" borderId="0" xfId="0" quotePrefix="1"/>
    <xf numFmtId="49" fontId="0" fillId="0" borderId="1" xfId="0" quotePrefix="1" applyNumberFormat="1" applyBorder="1"/>
    <xf numFmtId="49" fontId="0" fillId="0" borderId="1" xfId="0" applyNumberFormat="1" applyBorder="1"/>
    <xf numFmtId="0" fontId="0" fillId="7" borderId="0" xfId="0" applyFill="1"/>
    <xf numFmtId="0" fontId="0" fillId="8" borderId="0" xfId="0" applyFill="1"/>
    <xf numFmtId="0" fontId="0" fillId="0" borderId="3" xfId="0" applyBorder="1"/>
    <xf numFmtId="0" fontId="0" fillId="0" borderId="4" xfId="0" applyBorder="1"/>
    <xf numFmtId="0" fontId="0" fillId="0" borderId="9" xfId="0" applyBorder="1"/>
    <xf numFmtId="0" fontId="0" fillId="6" borderId="3" xfId="0" applyFill="1" applyBorder="1" applyAlignment="1">
      <alignment horizontal="center"/>
    </xf>
    <xf numFmtId="0" fontId="0" fillId="2" borderId="4" xfId="0" applyFill="1" applyBorder="1"/>
    <xf numFmtId="0" fontId="0" fillId="2" borderId="9" xfId="0" applyFill="1" applyBorder="1"/>
    <xf numFmtId="0" fontId="0" fillId="9" borderId="0" xfId="0" applyFill="1"/>
    <xf numFmtId="0" fontId="0" fillId="0" borderId="8" xfId="0" applyBorder="1" applyAlignment="1">
      <alignment horizontal="left"/>
    </xf>
    <xf numFmtId="0" fontId="2" fillId="3" borderId="7" xfId="0" applyFont="1" applyFill="1" applyBorder="1"/>
    <xf numFmtId="0" fontId="0" fillId="2" borderId="9" xfId="0" quotePrefix="1" applyFill="1" applyBorder="1"/>
    <xf numFmtId="0" fontId="0" fillId="2" borderId="8" xfId="0" applyFill="1" applyBorder="1"/>
    <xf numFmtId="0" fontId="0" fillId="2" borderId="10" xfId="0" applyFill="1" applyBorder="1"/>
    <xf numFmtId="0" fontId="0" fillId="0" borderId="0" xfId="0" applyBorder="1" applyAlignment="1">
      <alignment horizontal="left"/>
    </xf>
    <xf numFmtId="0" fontId="0" fillId="2" borderId="5" xfId="0" applyFill="1" applyBorder="1"/>
    <xf numFmtId="0" fontId="1" fillId="3" borderId="0" xfId="0" applyFont="1" applyFill="1"/>
    <xf numFmtId="0" fontId="6" fillId="3" borderId="0" xfId="0" applyFont="1" applyFill="1"/>
    <xf numFmtId="0" fontId="7" fillId="0" borderId="0" xfId="0" applyFont="1"/>
    <xf numFmtId="0" fontId="7" fillId="0" borderId="0" xfId="0" applyFont="1" applyFill="1"/>
    <xf numFmtId="0" fontId="0" fillId="10" borderId="0" xfId="0" applyFill="1"/>
    <xf numFmtId="0" fontId="0" fillId="9" borderId="9" xfId="0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0" fillId="9" borderId="0" xfId="0" applyFill="1" applyAlignment="1">
      <alignment horizontal="center"/>
    </xf>
    <xf numFmtId="0" fontId="2" fillId="9" borderId="0" xfId="0" applyFont="1" applyFill="1" applyBorder="1"/>
    <xf numFmtId="0" fontId="1" fillId="9" borderId="0" xfId="0" applyFont="1" applyFill="1" applyBorder="1"/>
    <xf numFmtId="0" fontId="2" fillId="9" borderId="0" xfId="0" applyFont="1" applyFill="1" applyBorder="1" applyAlignment="1">
      <alignment horizontal="center"/>
    </xf>
    <xf numFmtId="0" fontId="0" fillId="3" borderId="3" xfId="0" applyFill="1" applyBorder="1"/>
    <xf numFmtId="0" fontId="1" fillId="3" borderId="4" xfId="0" applyFont="1" applyFill="1" applyBorder="1"/>
    <xf numFmtId="0" fontId="2" fillId="3" borderId="4" xfId="0" applyFont="1" applyFill="1" applyBorder="1"/>
    <xf numFmtId="0" fontId="0" fillId="3" borderId="4" xfId="0" applyFill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0" fillId="11" borderId="6" xfId="0" applyFill="1" applyBorder="1"/>
    <xf numFmtId="0" fontId="0" fillId="11" borderId="0" xfId="0" applyFill="1" applyBorder="1"/>
    <xf numFmtId="164" fontId="0" fillId="11" borderId="0" xfId="0" applyNumberFormat="1" applyFill="1" applyBorder="1" applyAlignment="1">
      <alignment horizontal="center"/>
    </xf>
    <xf numFmtId="0" fontId="0" fillId="11" borderId="7" xfId="0" applyFill="1" applyBorder="1"/>
    <xf numFmtId="0" fontId="0" fillId="4" borderId="6" xfId="0" applyFill="1" applyBorder="1" applyProtection="1">
      <protection locked="0"/>
    </xf>
    <xf numFmtId="0" fontId="0" fillId="5" borderId="0" xfId="0" applyFill="1" applyBorder="1"/>
    <xf numFmtId="164" fontId="0" fillId="5" borderId="0" xfId="0" applyNumberFormat="1" applyFill="1" applyBorder="1" applyAlignment="1" applyProtection="1">
      <alignment horizontal="center"/>
    </xf>
    <xf numFmtId="0" fontId="0" fillId="5" borderId="7" xfId="0" applyFill="1" applyBorder="1"/>
    <xf numFmtId="0" fontId="0" fillId="4" borderId="8" xfId="0" applyFill="1" applyBorder="1" applyProtection="1">
      <protection locked="0"/>
    </xf>
    <xf numFmtId="0" fontId="0" fillId="5" borderId="9" xfId="0" applyFill="1" applyBorder="1"/>
    <xf numFmtId="164" fontId="0" fillId="5" borderId="9" xfId="0" applyNumberFormat="1" applyFill="1" applyBorder="1" applyAlignment="1" applyProtection="1">
      <alignment horizontal="center"/>
    </xf>
    <xf numFmtId="0" fontId="0" fillId="5" borderId="10" xfId="0" applyFill="1" applyBorder="1"/>
    <xf numFmtId="0" fontId="0" fillId="4" borderId="5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9" borderId="3" xfId="0" applyFill="1" applyBorder="1"/>
    <xf numFmtId="0" fontId="0" fillId="9" borderId="4" xfId="0" applyFill="1" applyBorder="1"/>
    <xf numFmtId="0" fontId="0" fillId="9" borderId="6" xfId="0" applyFill="1" applyBorder="1"/>
    <xf numFmtId="0" fontId="0" fillId="9" borderId="0" xfId="0" applyFill="1" applyBorder="1"/>
    <xf numFmtId="0" fontId="0" fillId="9" borderId="8" xfId="0" applyFill="1" applyBorder="1"/>
    <xf numFmtId="0" fontId="0" fillId="9" borderId="5" xfId="0" applyFill="1" applyBorder="1"/>
    <xf numFmtId="0" fontId="0" fillId="9" borderId="7" xfId="0" applyFill="1" applyBorder="1"/>
    <xf numFmtId="0" fontId="0" fillId="9" borderId="10" xfId="0" applyFill="1" applyBorder="1"/>
    <xf numFmtId="0" fontId="2" fillId="3" borderId="0" xfId="0" applyFont="1" applyFill="1" applyBorder="1"/>
    <xf numFmtId="0" fontId="0" fillId="4" borderId="19" xfId="0" applyFill="1" applyBorder="1" applyAlignment="1" applyProtection="1">
      <alignment horizontal="left"/>
      <protection locked="0"/>
    </xf>
    <xf numFmtId="0" fontId="0" fillId="4" borderId="20" xfId="0" applyFill="1" applyBorder="1" applyAlignment="1" applyProtection="1">
      <alignment horizontal="left"/>
      <protection locked="0"/>
    </xf>
    <xf numFmtId="0" fontId="0" fillId="9" borderId="23" xfId="0" applyFill="1" applyBorder="1" applyProtection="1">
      <protection locked="0"/>
    </xf>
    <xf numFmtId="0" fontId="0" fillId="9" borderId="25" xfId="0" applyFill="1" applyBorder="1" applyProtection="1">
      <protection locked="0"/>
    </xf>
    <xf numFmtId="0" fontId="0" fillId="11" borderId="18" xfId="0" applyFill="1" applyBorder="1" applyAlignment="1">
      <alignment horizontal="left"/>
    </xf>
    <xf numFmtId="0" fontId="0" fillId="11" borderId="21" xfId="0" applyFill="1" applyBorder="1"/>
    <xf numFmtId="0" fontId="0" fillId="11" borderId="22" xfId="0" applyFill="1" applyBorder="1" applyAlignment="1">
      <alignment horizontal="center"/>
    </xf>
    <xf numFmtId="164" fontId="0" fillId="11" borderId="22" xfId="0" applyNumberFormat="1" applyFill="1" applyBorder="1" applyAlignment="1">
      <alignment horizontal="center"/>
    </xf>
    <xf numFmtId="164" fontId="0" fillId="11" borderId="18" xfId="0" applyNumberFormat="1" applyFill="1" applyBorder="1" applyAlignment="1">
      <alignment horizontal="center"/>
    </xf>
    <xf numFmtId="0" fontId="0" fillId="5" borderId="24" xfId="0" applyFill="1" applyBorder="1" applyAlignment="1" applyProtection="1">
      <alignment horizontal="center"/>
      <protection locked="0"/>
    </xf>
    <xf numFmtId="164" fontId="0" fillId="5" borderId="24" xfId="0" applyNumberFormat="1" applyFill="1" applyBorder="1" applyAlignment="1" applyProtection="1">
      <alignment horizontal="center"/>
      <protection locked="0"/>
    </xf>
    <xf numFmtId="164" fontId="0" fillId="5" borderId="19" xfId="0" applyNumberFormat="1" applyFill="1" applyBorder="1" applyAlignment="1" applyProtection="1">
      <alignment horizontal="center"/>
      <protection locked="0"/>
    </xf>
    <xf numFmtId="0" fontId="0" fillId="5" borderId="26" xfId="0" applyFill="1" applyBorder="1" applyAlignment="1" applyProtection="1">
      <alignment horizontal="center"/>
      <protection locked="0"/>
    </xf>
    <xf numFmtId="164" fontId="0" fillId="5" borderId="26" xfId="0" applyNumberFormat="1" applyFill="1" applyBorder="1" applyAlignment="1" applyProtection="1">
      <alignment horizontal="center"/>
      <protection locked="0"/>
    </xf>
    <xf numFmtId="164" fontId="0" fillId="5" borderId="20" xfId="0" applyNumberFormat="1" applyFill="1" applyBorder="1" applyAlignment="1" applyProtection="1">
      <alignment horizontal="center"/>
      <protection locked="0"/>
    </xf>
    <xf numFmtId="0" fontId="0" fillId="5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0" fontId="0" fillId="9" borderId="0" xfId="0" applyFill="1" applyAlignment="1">
      <alignment horizontal="left"/>
    </xf>
    <xf numFmtId="0" fontId="1" fillId="9" borderId="0" xfId="0" applyFont="1" applyFill="1"/>
    <xf numFmtId="0" fontId="7" fillId="9" borderId="0" xfId="0" applyFont="1" applyFill="1"/>
    <xf numFmtId="0" fontId="0" fillId="9" borderId="11" xfId="0" applyFill="1" applyBorder="1" applyAlignment="1">
      <alignment horizontal="left"/>
    </xf>
    <xf numFmtId="0" fontId="0" fillId="9" borderId="12" xfId="0" applyFill="1" applyBorder="1" applyAlignment="1">
      <alignment horizontal="left"/>
    </xf>
    <xf numFmtId="0" fontId="0" fillId="9" borderId="13" xfId="0" applyFill="1" applyBorder="1" applyAlignment="1">
      <alignment horizontal="left"/>
    </xf>
    <xf numFmtId="0" fontId="7" fillId="4" borderId="0" xfId="0" applyFont="1" applyFill="1"/>
    <xf numFmtId="0" fontId="0" fillId="2" borderId="1" xfId="0" applyFill="1" applyBorder="1"/>
    <xf numFmtId="0" fontId="3" fillId="3" borderId="4" xfId="0" applyFont="1" applyFill="1" applyBorder="1" applyAlignment="1">
      <alignment horizontal="center" textRotation="45"/>
    </xf>
    <xf numFmtId="0" fontId="3" fillId="3" borderId="0" xfId="0" applyFont="1" applyFill="1" applyBorder="1" applyAlignment="1">
      <alignment horizontal="center" textRotation="45"/>
    </xf>
    <xf numFmtId="0" fontId="0" fillId="3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1657350</xdr:colOff>
          <xdr:row>0</xdr:row>
          <xdr:rowOff>180975</xdr:rowOff>
        </xdr:from>
        <xdr:to>
          <xdr:col>4</xdr:col>
          <xdr:colOff>2952750</xdr:colOff>
          <xdr:row>2</xdr:row>
          <xdr:rowOff>76200</xdr:rowOff>
        </xdr:to>
        <xdr:sp macro="" textlink="">
          <xdr:nvSpPr>
            <xdr:cNvPr id="1025" name="btnReinicia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6" tint="0.39997558519241921"/>
  </sheetPr>
  <dimension ref="A2:X109"/>
  <sheetViews>
    <sheetView workbookViewId="0">
      <selection activeCell="F19" sqref="F19"/>
    </sheetView>
  </sheetViews>
  <sheetFormatPr defaultRowHeight="15" x14ac:dyDescent="0.25"/>
  <cols>
    <col min="1" max="1" width="4" style="44" customWidth="1"/>
    <col min="2" max="2" width="29.140625" style="27" customWidth="1"/>
    <col min="3" max="3" width="5.7109375" style="27" customWidth="1"/>
    <col min="4" max="4" width="19.140625" style="27" customWidth="1"/>
    <col min="5" max="5" width="58.7109375" style="27" customWidth="1"/>
    <col min="6" max="9" width="5.85546875" style="43" customWidth="1"/>
    <col min="10" max="10" width="5.42578125" style="43" hidden="1" customWidth="1"/>
    <col min="11" max="11" width="23.28515625" style="27" customWidth="1"/>
    <col min="12" max="14" width="9.140625" style="27"/>
    <col min="15" max="15" width="15.42578125" style="27" hidden="1" customWidth="1"/>
    <col min="16" max="18" width="19.7109375" style="27" hidden="1" customWidth="1"/>
    <col min="19" max="19" width="9.42578125" style="27" hidden="1" customWidth="1"/>
    <col min="20" max="24" width="0" style="27" hidden="1" customWidth="1"/>
    <col min="25" max="27" width="9.140625" style="27"/>
    <col min="28" max="28" width="12.42578125" style="27" bestFit="1" customWidth="1"/>
    <col min="29" max="16384" width="9.140625" style="27"/>
  </cols>
  <sheetData>
    <row r="2" spans="1:24" x14ac:dyDescent="0.25">
      <c r="I2" s="43" t="s">
        <v>157</v>
      </c>
    </row>
    <row r="3" spans="1:24" x14ac:dyDescent="0.25">
      <c r="B3" s="94" t="s">
        <v>14</v>
      </c>
      <c r="C3" s="95"/>
      <c r="D3" s="67" t="s">
        <v>161</v>
      </c>
      <c r="F3" s="43" t="s">
        <v>158</v>
      </c>
    </row>
    <row r="4" spans="1:24" x14ac:dyDescent="0.25">
      <c r="B4" s="96" t="s">
        <v>34</v>
      </c>
      <c r="C4" s="60"/>
      <c r="D4" s="68" t="s">
        <v>160</v>
      </c>
    </row>
    <row r="5" spans="1:24" x14ac:dyDescent="0.25">
      <c r="B5" s="97" t="s">
        <v>86</v>
      </c>
      <c r="C5" s="64"/>
      <c r="D5" s="69" t="s">
        <v>159</v>
      </c>
    </row>
    <row r="8" spans="1:24" ht="21.75" customHeight="1" x14ac:dyDescent="0.25">
      <c r="B8" s="47"/>
      <c r="C8" s="48" t="s">
        <v>48</v>
      </c>
      <c r="D8" s="49"/>
      <c r="E8" s="50"/>
      <c r="F8" s="106" t="s">
        <v>32</v>
      </c>
      <c r="G8" s="106" t="s">
        <v>33</v>
      </c>
      <c r="H8" s="106" t="s">
        <v>52</v>
      </c>
      <c r="I8" s="106" t="s">
        <v>49</v>
      </c>
      <c r="J8" s="51"/>
      <c r="K8" s="50"/>
      <c r="L8" s="50"/>
      <c r="M8" s="52"/>
      <c r="O8" s="1" t="s">
        <v>7</v>
      </c>
      <c r="P8" s="1"/>
      <c r="Q8" s="1"/>
      <c r="R8" s="1"/>
      <c r="S8" s="1"/>
      <c r="T8" s="1"/>
      <c r="U8" s="1"/>
      <c r="V8" s="1"/>
      <c r="W8" s="1"/>
      <c r="X8" s="1"/>
    </row>
    <row r="9" spans="1:24" ht="15.75" thickBot="1" x14ac:dyDescent="0.3">
      <c r="A9" s="45" t="s">
        <v>75</v>
      </c>
      <c r="B9" s="53" t="s">
        <v>31</v>
      </c>
      <c r="C9" s="78" t="s">
        <v>37</v>
      </c>
      <c r="D9" s="13" t="s">
        <v>4</v>
      </c>
      <c r="E9" s="78" t="s">
        <v>77</v>
      </c>
      <c r="F9" s="107"/>
      <c r="G9" s="107"/>
      <c r="H9" s="108"/>
      <c r="I9" s="107"/>
      <c r="J9" s="14" t="s">
        <v>36</v>
      </c>
      <c r="K9" s="14" t="s">
        <v>31</v>
      </c>
      <c r="L9" s="15" t="s">
        <v>5</v>
      </c>
      <c r="M9" s="54" t="s">
        <v>7</v>
      </c>
      <c r="O9" s="1" t="s">
        <v>55</v>
      </c>
      <c r="P9" s="1" t="s">
        <v>54</v>
      </c>
      <c r="Q9" s="1" t="s">
        <v>50</v>
      </c>
      <c r="R9" s="1" t="s">
        <v>53</v>
      </c>
      <c r="S9" s="1" t="s">
        <v>51</v>
      </c>
      <c r="T9" s="1"/>
      <c r="U9" s="1"/>
      <c r="V9" s="1"/>
      <c r="W9" s="1"/>
      <c r="X9" s="1"/>
    </row>
    <row r="10" spans="1:24" x14ac:dyDescent="0.25">
      <c r="A10" s="46">
        <v>1</v>
      </c>
      <c r="B10" s="55" t="s">
        <v>35</v>
      </c>
      <c r="C10" s="83">
        <v>2</v>
      </c>
      <c r="D10" s="56" t="str">
        <f>LOOKUP(C10,AJUSTE!B:B,AJUSTE!C:C)</f>
        <v>Numero</v>
      </c>
      <c r="E10" s="84" t="s">
        <v>143</v>
      </c>
      <c r="F10" s="85"/>
      <c r="G10" s="85"/>
      <c r="H10" s="86">
        <v>1</v>
      </c>
      <c r="I10" s="87">
        <v>1</v>
      </c>
      <c r="J10" s="57">
        <f>IF(ISBLANK(B10),0,1)</f>
        <v>1</v>
      </c>
      <c r="K10" s="56" t="str">
        <f>IF(ISBLANK(B10),"",CONCATENATE(D$4,B10))</f>
        <v>E_Id</v>
      </c>
      <c r="L10" s="56" t="str">
        <f>IF(J10,LOOKUP(C10,AJUSTE!B:B,AJUSTE!E:E),"")</f>
        <v>int</v>
      </c>
      <c r="M10" s="58" t="str">
        <f>IF(J10,LOOKUP(C10,AJUSTE!B:B,AJUSTE!D:D),"")</f>
        <v>INT</v>
      </c>
      <c r="O10" s="1" t="str">
        <f>IF(F10,CONCATENATE("(",F10,")"),"")</f>
        <v/>
      </c>
      <c r="P10" s="1" t="str">
        <f>IF(I10,"NOT NULL ","NULL ")</f>
        <v xml:space="preserve">NOT NULL </v>
      </c>
      <c r="Q10" s="1" t="str">
        <f>IF(H10,"AUTO_INCREMENT","")</f>
        <v>AUTO_INCREMENT</v>
      </c>
      <c r="R10" s="1" t="str">
        <f>IF(ISBLANK(G10),"",CONCATENATE(" DEFAULT ",G10))</f>
        <v/>
      </c>
      <c r="S10" s="1" t="str">
        <f>IF(J10,CONCATENATE("`",K10,"` ",M10,O10," ",P10,Q10,R10,","),"")</f>
        <v>`E_Id` INT NOT NULL AUTO_INCREMENT,</v>
      </c>
      <c r="T10" s="1"/>
      <c r="U10" s="1"/>
      <c r="V10" s="1"/>
      <c r="W10" s="1"/>
      <c r="X10" s="1"/>
    </row>
    <row r="11" spans="1:24" x14ac:dyDescent="0.25">
      <c r="A11" s="46">
        <v>2</v>
      </c>
      <c r="B11" s="59" t="s">
        <v>162</v>
      </c>
      <c r="C11" s="79">
        <v>1</v>
      </c>
      <c r="D11" s="60" t="str">
        <f>LOOKUP(C11,AJUSTE!B:B,AJUSTE!C:C)</f>
        <v>Texto</v>
      </c>
      <c r="E11" s="81"/>
      <c r="F11" s="88">
        <v>50</v>
      </c>
      <c r="G11" s="88"/>
      <c r="H11" s="89"/>
      <c r="I11" s="90"/>
      <c r="J11" s="61">
        <f t="shared" ref="J11:J74" si="0">IF(ISBLANK(B11),0,1)</f>
        <v>1</v>
      </c>
      <c r="K11" s="60" t="str">
        <f t="shared" ref="K11:K74" si="1">IF(ISBLANK(B11),"",CONCATENATE(D$4,B11))</f>
        <v>E_RazaoSocial</v>
      </c>
      <c r="L11" s="60" t="str">
        <f>IF(J11,LOOKUP(C11,AJUSTE!B:B,AJUSTE!E:E),"")</f>
        <v>string</v>
      </c>
      <c r="M11" s="62" t="str">
        <f>IF(J11,LOOKUP(C11,AJUSTE!B:B,AJUSTE!D:D),"")</f>
        <v>VARCHAR</v>
      </c>
      <c r="O11" s="1" t="str">
        <f t="shared" ref="O11:O74" si="2">IF(F11,CONCATENATE("(",F11,")"),"")</f>
        <v>(50)</v>
      </c>
      <c r="P11" s="1" t="str">
        <f t="shared" ref="P11:P74" si="3">IF(I11,"NOT NULL ","NULL ")</f>
        <v xml:space="preserve">NULL </v>
      </c>
      <c r="Q11" s="1" t="str">
        <f t="shared" ref="Q11:Q74" si="4">IF(H11,"AUTO_INCREMENT","")</f>
        <v/>
      </c>
      <c r="R11" s="1" t="str">
        <f t="shared" ref="R11:R74" si="5">IF(ISBLANK(G11),"",CONCATENATE(" DEFAULT ",G11))</f>
        <v/>
      </c>
      <c r="S11" s="1" t="str">
        <f t="shared" ref="S11:S74" si="6">IF(J11,CONCATENATE("`",K11,"` ",M11,O11," ",P11,Q11,R11,","),"")</f>
        <v>`E_RazaoSocial` VARCHAR(50) NULL ,</v>
      </c>
      <c r="T11" s="1"/>
      <c r="U11" s="1"/>
      <c r="V11" s="1"/>
      <c r="W11" s="1"/>
      <c r="X11" s="1"/>
    </row>
    <row r="12" spans="1:24" x14ac:dyDescent="0.25">
      <c r="A12" s="46">
        <v>3</v>
      </c>
      <c r="B12" s="59" t="s">
        <v>163</v>
      </c>
      <c r="C12" s="79">
        <v>1</v>
      </c>
      <c r="D12" s="60" t="str">
        <f>LOOKUP(C12,AJUSTE!B:B,AJUSTE!C:C)</f>
        <v>Texto</v>
      </c>
      <c r="E12" s="81"/>
      <c r="F12" s="88">
        <v>20</v>
      </c>
      <c r="G12" s="88"/>
      <c r="H12" s="89"/>
      <c r="I12" s="90"/>
      <c r="J12" s="61">
        <f t="shared" si="0"/>
        <v>1</v>
      </c>
      <c r="K12" s="60" t="str">
        <f t="shared" si="1"/>
        <v>E_CNPJ</v>
      </c>
      <c r="L12" s="60" t="str">
        <f>IF(J12,LOOKUP(C12,AJUSTE!B:B,AJUSTE!E:E),"")</f>
        <v>string</v>
      </c>
      <c r="M12" s="62" t="str">
        <f>IF(J12,LOOKUP(C12,AJUSTE!B:B,AJUSTE!D:D),"")</f>
        <v>VARCHAR</v>
      </c>
      <c r="O12" s="1" t="str">
        <f t="shared" si="2"/>
        <v>(20)</v>
      </c>
      <c r="P12" s="1" t="str">
        <f t="shared" si="3"/>
        <v xml:space="preserve">NULL </v>
      </c>
      <c r="Q12" s="1" t="str">
        <f t="shared" si="4"/>
        <v/>
      </c>
      <c r="R12" s="1" t="str">
        <f t="shared" si="5"/>
        <v/>
      </c>
      <c r="S12" s="1" t="str">
        <f t="shared" si="6"/>
        <v>`E_CNPJ` VARCHAR(20) NULL ,</v>
      </c>
      <c r="T12" s="1"/>
      <c r="U12" s="1"/>
      <c r="V12" s="1"/>
      <c r="W12" s="1"/>
      <c r="X12" s="1"/>
    </row>
    <row r="13" spans="1:24" x14ac:dyDescent="0.25">
      <c r="A13" s="46">
        <v>4</v>
      </c>
      <c r="B13" s="59" t="s">
        <v>164</v>
      </c>
      <c r="C13" s="79">
        <v>1</v>
      </c>
      <c r="D13" s="60" t="str">
        <f>LOOKUP(C13,AJUSTE!B:B,AJUSTE!C:C)</f>
        <v>Texto</v>
      </c>
      <c r="E13" s="81"/>
      <c r="F13" s="88">
        <v>20</v>
      </c>
      <c r="G13" s="88"/>
      <c r="H13" s="89"/>
      <c r="I13" s="90"/>
      <c r="J13" s="61">
        <f t="shared" si="0"/>
        <v>1</v>
      </c>
      <c r="K13" s="60" t="str">
        <f t="shared" si="1"/>
        <v>E_IE</v>
      </c>
      <c r="L13" s="60" t="str">
        <f>IF(J13,LOOKUP(C13,AJUSTE!B:B,AJUSTE!E:E),"")</f>
        <v>string</v>
      </c>
      <c r="M13" s="62" t="str">
        <f>IF(J13,LOOKUP(C13,AJUSTE!B:B,AJUSTE!D:D),"")</f>
        <v>VARCHAR</v>
      </c>
      <c r="O13" s="1" t="str">
        <f t="shared" si="2"/>
        <v>(20)</v>
      </c>
      <c r="P13" s="1" t="str">
        <f t="shared" si="3"/>
        <v xml:space="preserve">NULL </v>
      </c>
      <c r="Q13" s="1" t="str">
        <f t="shared" si="4"/>
        <v/>
      </c>
      <c r="R13" s="1" t="str">
        <f t="shared" si="5"/>
        <v/>
      </c>
      <c r="S13" s="1" t="str">
        <f t="shared" si="6"/>
        <v>`E_IE` VARCHAR(20) NULL ,</v>
      </c>
      <c r="T13" s="1"/>
      <c r="U13" s="1"/>
      <c r="V13" s="1"/>
      <c r="W13" s="1"/>
      <c r="X13" s="1"/>
    </row>
    <row r="14" spans="1:24" x14ac:dyDescent="0.25">
      <c r="A14" s="46">
        <v>5</v>
      </c>
      <c r="B14" s="59" t="s">
        <v>165</v>
      </c>
      <c r="C14" s="79">
        <v>1</v>
      </c>
      <c r="D14" s="60" t="str">
        <f>LOOKUP(C14,AJUSTE!B:B,AJUSTE!C:C)</f>
        <v>Texto</v>
      </c>
      <c r="E14" s="81"/>
      <c r="F14" s="88">
        <v>50</v>
      </c>
      <c r="G14" s="88"/>
      <c r="H14" s="89"/>
      <c r="I14" s="90"/>
      <c r="J14" s="61">
        <f t="shared" si="0"/>
        <v>1</v>
      </c>
      <c r="K14" s="60" t="str">
        <f t="shared" si="1"/>
        <v>E_Endereco</v>
      </c>
      <c r="L14" s="60" t="str">
        <f>IF(J14,LOOKUP(C14,AJUSTE!B:B,AJUSTE!E:E),"")</f>
        <v>string</v>
      </c>
      <c r="M14" s="62" t="str">
        <f>IF(J14,LOOKUP(C14,AJUSTE!B:B,AJUSTE!D:D),"")</f>
        <v>VARCHAR</v>
      </c>
      <c r="O14" s="1" t="str">
        <f t="shared" si="2"/>
        <v>(50)</v>
      </c>
      <c r="P14" s="1" t="str">
        <f t="shared" si="3"/>
        <v xml:space="preserve">NULL </v>
      </c>
      <c r="Q14" s="1" t="str">
        <f t="shared" si="4"/>
        <v/>
      </c>
      <c r="R14" s="1" t="str">
        <f t="shared" si="5"/>
        <v/>
      </c>
      <c r="S14" s="1" t="str">
        <f t="shared" si="6"/>
        <v>`E_Endereco` VARCHAR(50) NULL ,</v>
      </c>
      <c r="T14" s="1"/>
      <c r="U14" s="1"/>
      <c r="V14" s="1"/>
      <c r="W14" s="1"/>
      <c r="X14" s="1"/>
    </row>
    <row r="15" spans="1:24" x14ac:dyDescent="0.25">
      <c r="A15" s="46">
        <v>6</v>
      </c>
      <c r="B15" s="59" t="s">
        <v>166</v>
      </c>
      <c r="C15" s="79">
        <v>1</v>
      </c>
      <c r="D15" s="60" t="str">
        <f>LOOKUP(C15,AJUSTE!B:B,AJUSTE!C:C)</f>
        <v>Texto</v>
      </c>
      <c r="E15" s="81"/>
      <c r="F15" s="88">
        <v>20</v>
      </c>
      <c r="G15" s="88"/>
      <c r="H15" s="89"/>
      <c r="I15" s="90"/>
      <c r="J15" s="61">
        <f t="shared" si="0"/>
        <v>1</v>
      </c>
      <c r="K15" s="60" t="str">
        <f t="shared" si="1"/>
        <v>E_Complemento</v>
      </c>
      <c r="L15" s="60" t="str">
        <f>IF(J15,LOOKUP(C15,AJUSTE!B:B,AJUSTE!E:E),"")</f>
        <v>string</v>
      </c>
      <c r="M15" s="62" t="str">
        <f>IF(J15,LOOKUP(C15,AJUSTE!B:B,AJUSTE!D:D),"")</f>
        <v>VARCHAR</v>
      </c>
      <c r="O15" s="1" t="str">
        <f t="shared" si="2"/>
        <v>(20)</v>
      </c>
      <c r="P15" s="1" t="str">
        <f t="shared" si="3"/>
        <v xml:space="preserve">NULL </v>
      </c>
      <c r="Q15" s="1" t="str">
        <f t="shared" si="4"/>
        <v/>
      </c>
      <c r="R15" s="1" t="str">
        <f t="shared" si="5"/>
        <v/>
      </c>
      <c r="S15" s="1" t="str">
        <f t="shared" si="6"/>
        <v>`E_Complemento` VARCHAR(20) NULL ,</v>
      </c>
      <c r="T15" s="1"/>
      <c r="U15" s="1"/>
      <c r="V15" s="1"/>
      <c r="W15" s="1"/>
      <c r="X15" s="1"/>
    </row>
    <row r="16" spans="1:24" x14ac:dyDescent="0.25">
      <c r="A16" s="46">
        <v>7</v>
      </c>
      <c r="B16" s="59" t="s">
        <v>167</v>
      </c>
      <c r="C16" s="79">
        <v>1</v>
      </c>
      <c r="D16" s="60" t="str">
        <f>LOOKUP(C16,AJUSTE!B:B,AJUSTE!C:C)</f>
        <v>Texto</v>
      </c>
      <c r="E16" s="81"/>
      <c r="F16" s="88">
        <v>2</v>
      </c>
      <c r="G16" s="88"/>
      <c r="H16" s="89"/>
      <c r="I16" s="90"/>
      <c r="J16" s="61">
        <f t="shared" si="0"/>
        <v>1</v>
      </c>
      <c r="K16" s="60" t="str">
        <f t="shared" si="1"/>
        <v>E_Estado</v>
      </c>
      <c r="L16" s="60" t="str">
        <f>IF(J16,LOOKUP(C16,AJUSTE!B:B,AJUSTE!E:E),"")</f>
        <v>string</v>
      </c>
      <c r="M16" s="62" t="str">
        <f>IF(J16,LOOKUP(C16,AJUSTE!B:B,AJUSTE!D:D),"")</f>
        <v>VARCHAR</v>
      </c>
      <c r="O16" s="1" t="str">
        <f t="shared" si="2"/>
        <v>(2)</v>
      </c>
      <c r="P16" s="1" t="str">
        <f t="shared" si="3"/>
        <v xml:space="preserve">NULL </v>
      </c>
      <c r="Q16" s="1" t="str">
        <f t="shared" si="4"/>
        <v/>
      </c>
      <c r="R16" s="1" t="str">
        <f t="shared" si="5"/>
        <v/>
      </c>
      <c r="S16" s="1" t="str">
        <f t="shared" si="6"/>
        <v>`E_Estado` VARCHAR(2) NULL ,</v>
      </c>
      <c r="T16" s="1"/>
      <c r="U16" s="1"/>
      <c r="V16" s="1"/>
      <c r="W16" s="1"/>
      <c r="X16" s="1"/>
    </row>
    <row r="17" spans="1:24" x14ac:dyDescent="0.25">
      <c r="A17" s="46">
        <v>8</v>
      </c>
      <c r="B17" s="59" t="s">
        <v>168</v>
      </c>
      <c r="C17" s="79">
        <v>1</v>
      </c>
      <c r="D17" s="60" t="str">
        <f>LOOKUP(C17,AJUSTE!B:B,AJUSTE!C:C)</f>
        <v>Texto</v>
      </c>
      <c r="E17" s="81"/>
      <c r="F17" s="88">
        <v>15</v>
      </c>
      <c r="G17" s="88"/>
      <c r="H17" s="89"/>
      <c r="I17" s="90"/>
      <c r="J17" s="61">
        <f t="shared" si="0"/>
        <v>1</v>
      </c>
      <c r="K17" s="60" t="str">
        <f t="shared" si="1"/>
        <v>E_Telefone</v>
      </c>
      <c r="L17" s="60" t="str">
        <f>IF(J17,LOOKUP(C17,AJUSTE!B:B,AJUSTE!E:E),"")</f>
        <v>string</v>
      </c>
      <c r="M17" s="62" t="str">
        <f>IF(J17,LOOKUP(C17,AJUSTE!B:B,AJUSTE!D:D),"")</f>
        <v>VARCHAR</v>
      </c>
      <c r="O17" s="1" t="str">
        <f t="shared" si="2"/>
        <v>(15)</v>
      </c>
      <c r="P17" s="1" t="str">
        <f t="shared" si="3"/>
        <v xml:space="preserve">NULL </v>
      </c>
      <c r="Q17" s="1" t="str">
        <f t="shared" si="4"/>
        <v/>
      </c>
      <c r="R17" s="1" t="str">
        <f t="shared" si="5"/>
        <v/>
      </c>
      <c r="S17" s="1" t="str">
        <f t="shared" si="6"/>
        <v>`E_Telefone` VARCHAR(15) NULL ,</v>
      </c>
      <c r="T17" s="1"/>
      <c r="U17" s="1"/>
      <c r="V17" s="1"/>
      <c r="W17" s="1"/>
      <c r="X17" s="1"/>
    </row>
    <row r="18" spans="1:24" x14ac:dyDescent="0.25">
      <c r="A18" s="46">
        <v>9</v>
      </c>
      <c r="B18" s="59" t="s">
        <v>169</v>
      </c>
      <c r="C18" s="79">
        <v>1</v>
      </c>
      <c r="D18" s="60" t="str">
        <f>LOOKUP(C18,AJUSTE!B:B,AJUSTE!C:C)</f>
        <v>Texto</v>
      </c>
      <c r="E18" s="81"/>
      <c r="F18" s="88">
        <v>50</v>
      </c>
      <c r="G18" s="88"/>
      <c r="H18" s="89"/>
      <c r="I18" s="90"/>
      <c r="J18" s="61">
        <f t="shared" si="0"/>
        <v>1</v>
      </c>
      <c r="K18" s="60" t="str">
        <f t="shared" si="1"/>
        <v>E_Email</v>
      </c>
      <c r="L18" s="60" t="str">
        <f>IF(J18,LOOKUP(C18,AJUSTE!B:B,AJUSTE!E:E),"")</f>
        <v>string</v>
      </c>
      <c r="M18" s="62" t="str">
        <f>IF(J18,LOOKUP(C18,AJUSTE!B:B,AJUSTE!D:D),"")</f>
        <v>VARCHAR</v>
      </c>
      <c r="O18" s="1" t="str">
        <f t="shared" si="2"/>
        <v>(50)</v>
      </c>
      <c r="P18" s="1" t="str">
        <f t="shared" si="3"/>
        <v xml:space="preserve">NULL </v>
      </c>
      <c r="Q18" s="1" t="str">
        <f t="shared" si="4"/>
        <v/>
      </c>
      <c r="R18" s="1" t="str">
        <f t="shared" si="5"/>
        <v/>
      </c>
      <c r="S18" s="1" t="str">
        <f t="shared" si="6"/>
        <v>`E_Email` VARCHAR(50) NULL ,</v>
      </c>
      <c r="T18" s="1"/>
      <c r="U18" s="1"/>
      <c r="V18" s="1"/>
      <c r="W18" s="1"/>
      <c r="X18" s="1"/>
    </row>
    <row r="19" spans="1:24" x14ac:dyDescent="0.25">
      <c r="A19" s="46">
        <v>10</v>
      </c>
      <c r="B19" s="59"/>
      <c r="C19" s="79">
        <v>30</v>
      </c>
      <c r="D19" s="60" t="str">
        <f>LOOKUP(C19,AJUSTE!B:B,AJUSTE!C:C)</f>
        <v>Nenhuma definida</v>
      </c>
      <c r="E19" s="81"/>
      <c r="F19" s="88"/>
      <c r="G19" s="88"/>
      <c r="H19" s="89"/>
      <c r="I19" s="90"/>
      <c r="J19" s="61">
        <f t="shared" si="0"/>
        <v>0</v>
      </c>
      <c r="K19" s="60" t="str">
        <f t="shared" si="1"/>
        <v/>
      </c>
      <c r="L19" s="60" t="str">
        <f>IF(J19,LOOKUP(C19,AJUSTE!B:B,AJUSTE!E:E),"")</f>
        <v/>
      </c>
      <c r="M19" s="62" t="str">
        <f>IF(J19,LOOKUP(C19,AJUSTE!B:B,AJUSTE!D:D),"")</f>
        <v/>
      </c>
      <c r="O19" s="1" t="str">
        <f t="shared" si="2"/>
        <v/>
      </c>
      <c r="P19" s="1" t="str">
        <f t="shared" si="3"/>
        <v xml:space="preserve">NULL </v>
      </c>
      <c r="Q19" s="1" t="str">
        <f t="shared" si="4"/>
        <v/>
      </c>
      <c r="R19" s="1" t="str">
        <f t="shared" si="5"/>
        <v/>
      </c>
      <c r="S19" s="1" t="str">
        <f t="shared" si="6"/>
        <v/>
      </c>
      <c r="T19" s="1"/>
      <c r="U19" s="1"/>
      <c r="V19" s="1"/>
      <c r="W19" s="1"/>
      <c r="X19" s="1"/>
    </row>
    <row r="20" spans="1:24" x14ac:dyDescent="0.25">
      <c r="A20" s="46">
        <v>11</v>
      </c>
      <c r="B20" s="59"/>
      <c r="C20" s="79">
        <v>30</v>
      </c>
      <c r="D20" s="60" t="str">
        <f>LOOKUP(C20,AJUSTE!B:B,AJUSTE!C:C)</f>
        <v>Nenhuma definida</v>
      </c>
      <c r="E20" s="81"/>
      <c r="F20" s="88"/>
      <c r="G20" s="88"/>
      <c r="H20" s="89"/>
      <c r="I20" s="90"/>
      <c r="J20" s="61">
        <f t="shared" si="0"/>
        <v>0</v>
      </c>
      <c r="K20" s="60" t="str">
        <f t="shared" si="1"/>
        <v/>
      </c>
      <c r="L20" s="60" t="str">
        <f>IF(J20,LOOKUP(C20,AJUSTE!B:B,AJUSTE!E:E),"")</f>
        <v/>
      </c>
      <c r="M20" s="62" t="str">
        <f>IF(J20,LOOKUP(C20,AJUSTE!B:B,AJUSTE!D:D),"")</f>
        <v/>
      </c>
      <c r="O20" s="1" t="str">
        <f t="shared" si="2"/>
        <v/>
      </c>
      <c r="P20" s="1" t="str">
        <f t="shared" si="3"/>
        <v xml:space="preserve">NULL </v>
      </c>
      <c r="Q20" s="1" t="str">
        <f t="shared" si="4"/>
        <v/>
      </c>
      <c r="R20" s="1" t="str">
        <f t="shared" si="5"/>
        <v/>
      </c>
      <c r="S20" s="1" t="str">
        <f t="shared" si="6"/>
        <v/>
      </c>
      <c r="T20" s="1"/>
      <c r="U20" s="1"/>
      <c r="V20" s="1"/>
      <c r="W20" s="1"/>
      <c r="X20" s="1"/>
    </row>
    <row r="21" spans="1:24" x14ac:dyDescent="0.25">
      <c r="A21" s="46">
        <v>12</v>
      </c>
      <c r="B21" s="59"/>
      <c r="C21" s="79">
        <v>30</v>
      </c>
      <c r="D21" s="60" t="str">
        <f>LOOKUP(C21,AJUSTE!B:B,AJUSTE!C:C)</f>
        <v>Nenhuma definida</v>
      </c>
      <c r="E21" s="81"/>
      <c r="F21" s="88"/>
      <c r="G21" s="88"/>
      <c r="H21" s="89"/>
      <c r="I21" s="90"/>
      <c r="J21" s="61">
        <f t="shared" si="0"/>
        <v>0</v>
      </c>
      <c r="K21" s="60" t="str">
        <f t="shared" si="1"/>
        <v/>
      </c>
      <c r="L21" s="60" t="str">
        <f>IF(J21,LOOKUP(C21,AJUSTE!B:B,AJUSTE!E:E),"")</f>
        <v/>
      </c>
      <c r="M21" s="62" t="str">
        <f>IF(J21,LOOKUP(C21,AJUSTE!B:B,AJUSTE!D:D),"")</f>
        <v/>
      </c>
      <c r="O21" s="1" t="str">
        <f t="shared" si="2"/>
        <v/>
      </c>
      <c r="P21" s="1" t="str">
        <f t="shared" si="3"/>
        <v xml:space="preserve">NULL </v>
      </c>
      <c r="Q21" s="1" t="str">
        <f t="shared" si="4"/>
        <v/>
      </c>
      <c r="R21" s="1" t="str">
        <f t="shared" si="5"/>
        <v/>
      </c>
      <c r="S21" s="1" t="str">
        <f t="shared" si="6"/>
        <v/>
      </c>
      <c r="T21" s="1"/>
      <c r="U21" s="1"/>
      <c r="V21" s="1"/>
      <c r="W21" s="1"/>
      <c r="X21" s="1"/>
    </row>
    <row r="22" spans="1:24" x14ac:dyDescent="0.25">
      <c r="A22" s="46">
        <v>13</v>
      </c>
      <c r="B22" s="59"/>
      <c r="C22" s="79">
        <v>30</v>
      </c>
      <c r="D22" s="60" t="str">
        <f>LOOKUP(C22,AJUSTE!B:B,AJUSTE!C:C)</f>
        <v>Nenhuma definida</v>
      </c>
      <c r="E22" s="81"/>
      <c r="F22" s="88"/>
      <c r="G22" s="88"/>
      <c r="H22" s="89"/>
      <c r="I22" s="90"/>
      <c r="J22" s="61">
        <f t="shared" si="0"/>
        <v>0</v>
      </c>
      <c r="K22" s="60" t="str">
        <f t="shared" si="1"/>
        <v/>
      </c>
      <c r="L22" s="60" t="str">
        <f>IF(J22,LOOKUP(C22,AJUSTE!B:B,AJUSTE!E:E),"")</f>
        <v/>
      </c>
      <c r="M22" s="62" t="str">
        <f>IF(J22,LOOKUP(C22,AJUSTE!B:B,AJUSTE!D:D),"")</f>
        <v/>
      </c>
      <c r="O22" s="1" t="str">
        <f t="shared" si="2"/>
        <v/>
      </c>
      <c r="P22" s="1" t="str">
        <f t="shared" si="3"/>
        <v xml:space="preserve">NULL </v>
      </c>
      <c r="Q22" s="1" t="str">
        <f t="shared" si="4"/>
        <v/>
      </c>
      <c r="R22" s="1" t="str">
        <f t="shared" si="5"/>
        <v/>
      </c>
      <c r="S22" s="1" t="str">
        <f t="shared" si="6"/>
        <v/>
      </c>
      <c r="T22" s="1"/>
      <c r="U22" s="1"/>
      <c r="V22" s="1"/>
      <c r="W22" s="1"/>
      <c r="X22" s="1"/>
    </row>
    <row r="23" spans="1:24" x14ac:dyDescent="0.25">
      <c r="A23" s="46">
        <v>14</v>
      </c>
      <c r="B23" s="59"/>
      <c r="C23" s="79">
        <v>30</v>
      </c>
      <c r="D23" s="60" t="str">
        <f>LOOKUP(C23,AJUSTE!B:B,AJUSTE!C:C)</f>
        <v>Nenhuma definida</v>
      </c>
      <c r="E23" s="81"/>
      <c r="F23" s="88"/>
      <c r="G23" s="88"/>
      <c r="H23" s="89"/>
      <c r="I23" s="90"/>
      <c r="J23" s="61">
        <f t="shared" si="0"/>
        <v>0</v>
      </c>
      <c r="K23" s="60" t="str">
        <f t="shared" si="1"/>
        <v/>
      </c>
      <c r="L23" s="60" t="str">
        <f>IF(J23,LOOKUP(C23,AJUSTE!B:B,AJUSTE!E:E),"")</f>
        <v/>
      </c>
      <c r="M23" s="62" t="str">
        <f>IF(J23,LOOKUP(C23,AJUSTE!B:B,AJUSTE!D:D),"")</f>
        <v/>
      </c>
      <c r="O23" s="1" t="str">
        <f t="shared" si="2"/>
        <v/>
      </c>
      <c r="P23" s="1" t="str">
        <f t="shared" si="3"/>
        <v xml:space="preserve">NULL </v>
      </c>
      <c r="Q23" s="1" t="str">
        <f t="shared" si="4"/>
        <v/>
      </c>
      <c r="R23" s="1" t="str">
        <f t="shared" si="5"/>
        <v/>
      </c>
      <c r="S23" s="1" t="str">
        <f t="shared" si="6"/>
        <v/>
      </c>
      <c r="T23" s="1"/>
      <c r="U23" s="1"/>
      <c r="V23" s="1"/>
      <c r="W23" s="1"/>
      <c r="X23" s="1"/>
    </row>
    <row r="24" spans="1:24" x14ac:dyDescent="0.25">
      <c r="A24" s="46">
        <v>15</v>
      </c>
      <c r="B24" s="59"/>
      <c r="C24" s="79">
        <v>30</v>
      </c>
      <c r="D24" s="60" t="str">
        <f>LOOKUP(C24,AJUSTE!B:B,AJUSTE!C:C)</f>
        <v>Nenhuma definida</v>
      </c>
      <c r="E24" s="81"/>
      <c r="F24" s="88"/>
      <c r="G24" s="88"/>
      <c r="H24" s="89"/>
      <c r="I24" s="90"/>
      <c r="J24" s="61">
        <f t="shared" si="0"/>
        <v>0</v>
      </c>
      <c r="K24" s="60" t="str">
        <f t="shared" si="1"/>
        <v/>
      </c>
      <c r="L24" s="60" t="str">
        <f>IF(J24,LOOKUP(C24,AJUSTE!B:B,AJUSTE!E:E),"")</f>
        <v/>
      </c>
      <c r="M24" s="62" t="str">
        <f>IF(J24,LOOKUP(C24,AJUSTE!B:B,AJUSTE!D:D),"")</f>
        <v/>
      </c>
      <c r="O24" s="1" t="str">
        <f t="shared" si="2"/>
        <v/>
      </c>
      <c r="P24" s="1" t="str">
        <f t="shared" si="3"/>
        <v xml:space="preserve">NULL </v>
      </c>
      <c r="Q24" s="1" t="str">
        <f t="shared" si="4"/>
        <v/>
      </c>
      <c r="R24" s="1" t="str">
        <f t="shared" si="5"/>
        <v/>
      </c>
      <c r="S24" s="1" t="str">
        <f t="shared" si="6"/>
        <v/>
      </c>
      <c r="T24" s="1"/>
      <c r="U24" s="1"/>
      <c r="V24" s="1"/>
      <c r="W24" s="1"/>
      <c r="X24" s="1"/>
    </row>
    <row r="25" spans="1:24" x14ac:dyDescent="0.25">
      <c r="A25" s="46">
        <v>16</v>
      </c>
      <c r="B25" s="59"/>
      <c r="C25" s="79">
        <v>30</v>
      </c>
      <c r="D25" s="60" t="str">
        <f>LOOKUP(C25,AJUSTE!B:B,AJUSTE!C:C)</f>
        <v>Nenhuma definida</v>
      </c>
      <c r="E25" s="81"/>
      <c r="F25" s="88"/>
      <c r="G25" s="88"/>
      <c r="H25" s="89"/>
      <c r="I25" s="90"/>
      <c r="J25" s="61">
        <f t="shared" si="0"/>
        <v>0</v>
      </c>
      <c r="K25" s="60" t="str">
        <f t="shared" si="1"/>
        <v/>
      </c>
      <c r="L25" s="60" t="str">
        <f>IF(J25,LOOKUP(C25,AJUSTE!B:B,AJUSTE!E:E),"")</f>
        <v/>
      </c>
      <c r="M25" s="62" t="str">
        <f>IF(J25,LOOKUP(C25,AJUSTE!B:B,AJUSTE!D:D),"")</f>
        <v/>
      </c>
      <c r="O25" s="1" t="str">
        <f t="shared" si="2"/>
        <v/>
      </c>
      <c r="P25" s="1" t="str">
        <f t="shared" si="3"/>
        <v xml:space="preserve">NULL </v>
      </c>
      <c r="Q25" s="1" t="str">
        <f t="shared" si="4"/>
        <v/>
      </c>
      <c r="R25" s="1" t="str">
        <f t="shared" si="5"/>
        <v/>
      </c>
      <c r="S25" s="1" t="str">
        <f t="shared" si="6"/>
        <v/>
      </c>
      <c r="T25" s="1"/>
      <c r="U25" s="1"/>
      <c r="V25" s="1"/>
      <c r="W25" s="1"/>
      <c r="X25" s="1"/>
    </row>
    <row r="26" spans="1:24" x14ac:dyDescent="0.25">
      <c r="A26" s="46">
        <v>17</v>
      </c>
      <c r="B26" s="59"/>
      <c r="C26" s="79">
        <v>30</v>
      </c>
      <c r="D26" s="60" t="str">
        <f>LOOKUP(C26,AJUSTE!B:B,AJUSTE!C:C)</f>
        <v>Nenhuma definida</v>
      </c>
      <c r="E26" s="81"/>
      <c r="F26" s="88"/>
      <c r="G26" s="88"/>
      <c r="H26" s="89"/>
      <c r="I26" s="90"/>
      <c r="J26" s="61">
        <f t="shared" si="0"/>
        <v>0</v>
      </c>
      <c r="K26" s="60" t="str">
        <f t="shared" si="1"/>
        <v/>
      </c>
      <c r="L26" s="60" t="str">
        <f>IF(J26,LOOKUP(C26,AJUSTE!B:B,AJUSTE!E:E),"")</f>
        <v/>
      </c>
      <c r="M26" s="62" t="str">
        <f>IF(J26,LOOKUP(C26,AJUSTE!B:B,AJUSTE!D:D),"")</f>
        <v/>
      </c>
      <c r="O26" s="1" t="str">
        <f t="shared" si="2"/>
        <v/>
      </c>
      <c r="P26" s="1" t="str">
        <f t="shared" si="3"/>
        <v xml:space="preserve">NULL </v>
      </c>
      <c r="Q26" s="1" t="str">
        <f t="shared" si="4"/>
        <v/>
      </c>
      <c r="R26" s="1" t="str">
        <f t="shared" si="5"/>
        <v/>
      </c>
      <c r="S26" s="1" t="str">
        <f t="shared" si="6"/>
        <v/>
      </c>
      <c r="T26" s="1"/>
      <c r="U26" s="1"/>
      <c r="V26" s="1"/>
      <c r="W26" s="1"/>
      <c r="X26" s="1"/>
    </row>
    <row r="27" spans="1:24" x14ac:dyDescent="0.25">
      <c r="A27" s="46">
        <v>18</v>
      </c>
      <c r="B27" s="59"/>
      <c r="C27" s="79">
        <v>30</v>
      </c>
      <c r="D27" s="60" t="str">
        <f>LOOKUP(C27,AJUSTE!B:B,AJUSTE!C:C)</f>
        <v>Nenhuma definida</v>
      </c>
      <c r="E27" s="81"/>
      <c r="F27" s="88"/>
      <c r="G27" s="88"/>
      <c r="H27" s="89"/>
      <c r="I27" s="90"/>
      <c r="J27" s="61">
        <f t="shared" si="0"/>
        <v>0</v>
      </c>
      <c r="K27" s="60" t="str">
        <f t="shared" si="1"/>
        <v/>
      </c>
      <c r="L27" s="60" t="str">
        <f>IF(J27,LOOKUP(C27,AJUSTE!B:B,AJUSTE!E:E),"")</f>
        <v/>
      </c>
      <c r="M27" s="62" t="str">
        <f>IF(J27,LOOKUP(C27,AJUSTE!B:B,AJUSTE!D:D),"")</f>
        <v/>
      </c>
      <c r="O27" s="1" t="str">
        <f t="shared" si="2"/>
        <v/>
      </c>
      <c r="P27" s="1" t="str">
        <f t="shared" si="3"/>
        <v xml:space="preserve">NULL </v>
      </c>
      <c r="Q27" s="1" t="str">
        <f t="shared" si="4"/>
        <v/>
      </c>
      <c r="R27" s="1" t="str">
        <f t="shared" si="5"/>
        <v/>
      </c>
      <c r="S27" s="1" t="str">
        <f t="shared" si="6"/>
        <v/>
      </c>
      <c r="T27" s="1"/>
      <c r="U27" s="1"/>
      <c r="V27" s="1"/>
      <c r="W27" s="1"/>
      <c r="X27" s="1"/>
    </row>
    <row r="28" spans="1:24" x14ac:dyDescent="0.25">
      <c r="A28" s="46">
        <v>19</v>
      </c>
      <c r="B28" s="59"/>
      <c r="C28" s="79">
        <v>30</v>
      </c>
      <c r="D28" s="60" t="str">
        <f>LOOKUP(C28,AJUSTE!B:B,AJUSTE!C:C)</f>
        <v>Nenhuma definida</v>
      </c>
      <c r="E28" s="81"/>
      <c r="F28" s="88"/>
      <c r="G28" s="88"/>
      <c r="H28" s="89"/>
      <c r="I28" s="90"/>
      <c r="J28" s="61">
        <f t="shared" si="0"/>
        <v>0</v>
      </c>
      <c r="K28" s="60" t="str">
        <f t="shared" si="1"/>
        <v/>
      </c>
      <c r="L28" s="60" t="str">
        <f>IF(J28,LOOKUP(C28,AJUSTE!B:B,AJUSTE!E:E),"")</f>
        <v/>
      </c>
      <c r="M28" s="62" t="str">
        <f>IF(J28,LOOKUP(C28,AJUSTE!B:B,AJUSTE!D:D),"")</f>
        <v/>
      </c>
      <c r="O28" s="1" t="str">
        <f t="shared" si="2"/>
        <v/>
      </c>
      <c r="P28" s="1" t="str">
        <f t="shared" si="3"/>
        <v xml:space="preserve">NULL </v>
      </c>
      <c r="Q28" s="1" t="str">
        <f t="shared" si="4"/>
        <v/>
      </c>
      <c r="R28" s="1" t="str">
        <f t="shared" si="5"/>
        <v/>
      </c>
      <c r="S28" s="1" t="str">
        <f t="shared" si="6"/>
        <v/>
      </c>
      <c r="T28" s="1"/>
      <c r="U28" s="1"/>
      <c r="V28" s="1"/>
      <c r="W28" s="1"/>
      <c r="X28" s="1"/>
    </row>
    <row r="29" spans="1:24" x14ac:dyDescent="0.25">
      <c r="A29" s="46">
        <v>20</v>
      </c>
      <c r="B29" s="59"/>
      <c r="C29" s="79">
        <v>30</v>
      </c>
      <c r="D29" s="60" t="str">
        <f>LOOKUP(C29,AJUSTE!B:B,AJUSTE!C:C)</f>
        <v>Nenhuma definida</v>
      </c>
      <c r="E29" s="81"/>
      <c r="F29" s="88"/>
      <c r="G29" s="88"/>
      <c r="H29" s="89"/>
      <c r="I29" s="90"/>
      <c r="J29" s="61">
        <f t="shared" si="0"/>
        <v>0</v>
      </c>
      <c r="K29" s="60" t="str">
        <f t="shared" si="1"/>
        <v/>
      </c>
      <c r="L29" s="60" t="str">
        <f>IF(J29,LOOKUP(C29,AJUSTE!B:B,AJUSTE!E:E),"")</f>
        <v/>
      </c>
      <c r="M29" s="62" t="str">
        <f>IF(J29,LOOKUP(C29,AJUSTE!B:B,AJUSTE!D:D),"")</f>
        <v/>
      </c>
      <c r="O29" s="1" t="str">
        <f t="shared" si="2"/>
        <v/>
      </c>
      <c r="P29" s="1" t="str">
        <f t="shared" si="3"/>
        <v xml:space="preserve">NULL </v>
      </c>
      <c r="Q29" s="1" t="str">
        <f t="shared" si="4"/>
        <v/>
      </c>
      <c r="R29" s="1" t="str">
        <f t="shared" si="5"/>
        <v/>
      </c>
      <c r="S29" s="1" t="str">
        <f t="shared" si="6"/>
        <v/>
      </c>
      <c r="T29" s="1"/>
      <c r="U29" s="1"/>
      <c r="V29" s="1"/>
      <c r="W29" s="1"/>
      <c r="X29" s="1"/>
    </row>
    <row r="30" spans="1:24" x14ac:dyDescent="0.25">
      <c r="A30" s="46">
        <v>21</v>
      </c>
      <c r="B30" s="59"/>
      <c r="C30" s="79">
        <v>30</v>
      </c>
      <c r="D30" s="60" t="str">
        <f>LOOKUP(C30,AJUSTE!B:B,AJUSTE!C:C)</f>
        <v>Nenhuma definida</v>
      </c>
      <c r="E30" s="81"/>
      <c r="F30" s="88"/>
      <c r="G30" s="88"/>
      <c r="H30" s="89"/>
      <c r="I30" s="90"/>
      <c r="J30" s="61">
        <f t="shared" si="0"/>
        <v>0</v>
      </c>
      <c r="K30" s="60" t="str">
        <f t="shared" si="1"/>
        <v/>
      </c>
      <c r="L30" s="60" t="str">
        <f>IF(J30,LOOKUP(C30,AJUSTE!B:B,AJUSTE!E:E),"")</f>
        <v/>
      </c>
      <c r="M30" s="62" t="str">
        <f>IF(J30,LOOKUP(C30,AJUSTE!B:B,AJUSTE!D:D),"")</f>
        <v/>
      </c>
      <c r="O30" s="1" t="str">
        <f t="shared" si="2"/>
        <v/>
      </c>
      <c r="P30" s="1" t="str">
        <f t="shared" si="3"/>
        <v xml:space="preserve">NULL </v>
      </c>
      <c r="Q30" s="1" t="str">
        <f t="shared" si="4"/>
        <v/>
      </c>
      <c r="R30" s="1" t="str">
        <f t="shared" si="5"/>
        <v/>
      </c>
      <c r="S30" s="1" t="str">
        <f t="shared" si="6"/>
        <v/>
      </c>
      <c r="T30" s="1"/>
      <c r="U30" s="1"/>
      <c r="V30" s="1"/>
      <c r="W30" s="1"/>
      <c r="X30" s="1"/>
    </row>
    <row r="31" spans="1:24" x14ac:dyDescent="0.25">
      <c r="A31" s="46">
        <v>22</v>
      </c>
      <c r="B31" s="59"/>
      <c r="C31" s="79">
        <v>30</v>
      </c>
      <c r="D31" s="60" t="str">
        <f>LOOKUP(C31,AJUSTE!B:B,AJUSTE!C:C)</f>
        <v>Nenhuma definida</v>
      </c>
      <c r="E31" s="81"/>
      <c r="F31" s="88"/>
      <c r="G31" s="88"/>
      <c r="H31" s="89"/>
      <c r="I31" s="90"/>
      <c r="J31" s="61">
        <f t="shared" si="0"/>
        <v>0</v>
      </c>
      <c r="K31" s="60" t="str">
        <f t="shared" si="1"/>
        <v/>
      </c>
      <c r="L31" s="60" t="str">
        <f>IF(J31,LOOKUP(C31,AJUSTE!B:B,AJUSTE!E:E),"")</f>
        <v/>
      </c>
      <c r="M31" s="62" t="str">
        <f>IF(J31,LOOKUP(C31,AJUSTE!B:B,AJUSTE!D:D),"")</f>
        <v/>
      </c>
      <c r="O31" s="1" t="str">
        <f t="shared" si="2"/>
        <v/>
      </c>
      <c r="P31" s="1" t="str">
        <f t="shared" si="3"/>
        <v xml:space="preserve">NULL </v>
      </c>
      <c r="Q31" s="1" t="str">
        <f t="shared" si="4"/>
        <v/>
      </c>
      <c r="R31" s="1" t="str">
        <f t="shared" si="5"/>
        <v/>
      </c>
      <c r="S31" s="1" t="str">
        <f t="shared" si="6"/>
        <v/>
      </c>
      <c r="T31" s="1"/>
      <c r="U31" s="1"/>
      <c r="V31" s="1"/>
      <c r="W31" s="1"/>
      <c r="X31" s="1"/>
    </row>
    <row r="32" spans="1:24" x14ac:dyDescent="0.25">
      <c r="A32" s="46">
        <v>23</v>
      </c>
      <c r="B32" s="59"/>
      <c r="C32" s="79">
        <v>30</v>
      </c>
      <c r="D32" s="60" t="str">
        <f>LOOKUP(C32,AJUSTE!B:B,AJUSTE!C:C)</f>
        <v>Nenhuma definida</v>
      </c>
      <c r="E32" s="81"/>
      <c r="F32" s="88"/>
      <c r="G32" s="88"/>
      <c r="H32" s="89"/>
      <c r="I32" s="90"/>
      <c r="J32" s="61">
        <f t="shared" si="0"/>
        <v>0</v>
      </c>
      <c r="K32" s="60" t="str">
        <f t="shared" si="1"/>
        <v/>
      </c>
      <c r="L32" s="60" t="str">
        <f>IF(J32,LOOKUP(C32,AJUSTE!B:B,AJUSTE!E:E),"")</f>
        <v/>
      </c>
      <c r="M32" s="62" t="str">
        <f>IF(J32,LOOKUP(C32,AJUSTE!B:B,AJUSTE!D:D),"")</f>
        <v/>
      </c>
      <c r="O32" s="1" t="str">
        <f t="shared" si="2"/>
        <v/>
      </c>
      <c r="P32" s="1" t="str">
        <f t="shared" si="3"/>
        <v xml:space="preserve">NULL </v>
      </c>
      <c r="Q32" s="1" t="str">
        <f t="shared" si="4"/>
        <v/>
      </c>
      <c r="R32" s="1" t="str">
        <f t="shared" si="5"/>
        <v/>
      </c>
      <c r="S32" s="1" t="str">
        <f t="shared" si="6"/>
        <v/>
      </c>
      <c r="T32" s="1"/>
      <c r="U32" s="1"/>
      <c r="V32" s="1"/>
      <c r="W32" s="1"/>
      <c r="X32" s="1"/>
    </row>
    <row r="33" spans="1:24" x14ac:dyDescent="0.25">
      <c r="A33" s="46">
        <v>24</v>
      </c>
      <c r="B33" s="59"/>
      <c r="C33" s="79">
        <v>30</v>
      </c>
      <c r="D33" s="60" t="str">
        <f>LOOKUP(C33,AJUSTE!B:B,AJUSTE!C:C)</f>
        <v>Nenhuma definida</v>
      </c>
      <c r="E33" s="81"/>
      <c r="F33" s="88"/>
      <c r="G33" s="88"/>
      <c r="H33" s="89"/>
      <c r="I33" s="90"/>
      <c r="J33" s="61">
        <f t="shared" si="0"/>
        <v>0</v>
      </c>
      <c r="K33" s="60" t="str">
        <f t="shared" si="1"/>
        <v/>
      </c>
      <c r="L33" s="60" t="str">
        <f>IF(J33,LOOKUP(C33,AJUSTE!B:B,AJUSTE!E:E),"")</f>
        <v/>
      </c>
      <c r="M33" s="62" t="str">
        <f>IF(J33,LOOKUP(C33,AJUSTE!B:B,AJUSTE!D:D),"")</f>
        <v/>
      </c>
      <c r="O33" s="1" t="str">
        <f t="shared" si="2"/>
        <v/>
      </c>
      <c r="P33" s="1" t="str">
        <f t="shared" si="3"/>
        <v xml:space="preserve">NULL </v>
      </c>
      <c r="Q33" s="1" t="str">
        <f t="shared" si="4"/>
        <v/>
      </c>
      <c r="R33" s="1" t="str">
        <f t="shared" si="5"/>
        <v/>
      </c>
      <c r="S33" s="1" t="str">
        <f t="shared" si="6"/>
        <v/>
      </c>
      <c r="T33" s="1"/>
      <c r="U33" s="1"/>
      <c r="V33" s="1"/>
      <c r="W33" s="1"/>
      <c r="X33" s="1"/>
    </row>
    <row r="34" spans="1:24" x14ac:dyDescent="0.25">
      <c r="A34" s="46">
        <v>25</v>
      </c>
      <c r="B34" s="59"/>
      <c r="C34" s="79">
        <v>30</v>
      </c>
      <c r="D34" s="60" t="str">
        <f>LOOKUP(C34,AJUSTE!B:B,AJUSTE!C:C)</f>
        <v>Nenhuma definida</v>
      </c>
      <c r="E34" s="81"/>
      <c r="F34" s="88"/>
      <c r="G34" s="88"/>
      <c r="H34" s="89"/>
      <c r="I34" s="90"/>
      <c r="J34" s="61">
        <f t="shared" si="0"/>
        <v>0</v>
      </c>
      <c r="K34" s="60" t="str">
        <f t="shared" si="1"/>
        <v/>
      </c>
      <c r="L34" s="60" t="str">
        <f>IF(J34,LOOKUP(C34,AJUSTE!B:B,AJUSTE!E:E),"")</f>
        <v/>
      </c>
      <c r="M34" s="62" t="str">
        <f>IF(J34,LOOKUP(C34,AJUSTE!B:B,AJUSTE!D:D),"")</f>
        <v/>
      </c>
      <c r="O34" s="1" t="str">
        <f t="shared" si="2"/>
        <v/>
      </c>
      <c r="P34" s="1" t="str">
        <f t="shared" si="3"/>
        <v xml:space="preserve">NULL </v>
      </c>
      <c r="Q34" s="1" t="str">
        <f t="shared" si="4"/>
        <v/>
      </c>
      <c r="R34" s="1" t="str">
        <f t="shared" si="5"/>
        <v/>
      </c>
      <c r="S34" s="1" t="str">
        <f t="shared" si="6"/>
        <v/>
      </c>
      <c r="T34" s="1"/>
      <c r="U34" s="1"/>
      <c r="V34" s="1"/>
      <c r="W34" s="1"/>
      <c r="X34" s="1"/>
    </row>
    <row r="35" spans="1:24" x14ac:dyDescent="0.25">
      <c r="A35" s="46">
        <v>26</v>
      </c>
      <c r="B35" s="59"/>
      <c r="C35" s="79">
        <v>30</v>
      </c>
      <c r="D35" s="60" t="str">
        <f>LOOKUP(C35,AJUSTE!B:B,AJUSTE!C:C)</f>
        <v>Nenhuma definida</v>
      </c>
      <c r="E35" s="81"/>
      <c r="F35" s="88"/>
      <c r="G35" s="88"/>
      <c r="H35" s="89"/>
      <c r="I35" s="90"/>
      <c r="J35" s="61">
        <f t="shared" si="0"/>
        <v>0</v>
      </c>
      <c r="K35" s="60" t="str">
        <f t="shared" si="1"/>
        <v/>
      </c>
      <c r="L35" s="60" t="str">
        <f>IF(J35,LOOKUP(C35,AJUSTE!B:B,AJUSTE!E:E),"")</f>
        <v/>
      </c>
      <c r="M35" s="62" t="str">
        <f>IF(J35,LOOKUP(C35,AJUSTE!B:B,AJUSTE!D:D),"")</f>
        <v/>
      </c>
      <c r="O35" s="1" t="str">
        <f t="shared" si="2"/>
        <v/>
      </c>
      <c r="P35" s="1" t="str">
        <f t="shared" si="3"/>
        <v xml:space="preserve">NULL </v>
      </c>
      <c r="Q35" s="1" t="str">
        <f t="shared" si="4"/>
        <v/>
      </c>
      <c r="R35" s="1" t="str">
        <f t="shared" si="5"/>
        <v/>
      </c>
      <c r="S35" s="1" t="str">
        <f t="shared" si="6"/>
        <v/>
      </c>
      <c r="T35" s="1"/>
      <c r="U35" s="1"/>
      <c r="V35" s="1"/>
      <c r="W35" s="1"/>
      <c r="X35" s="1"/>
    </row>
    <row r="36" spans="1:24" x14ac:dyDescent="0.25">
      <c r="A36" s="46">
        <v>27</v>
      </c>
      <c r="B36" s="59"/>
      <c r="C36" s="79">
        <v>30</v>
      </c>
      <c r="D36" s="60" t="str">
        <f>LOOKUP(C36,AJUSTE!B:B,AJUSTE!C:C)</f>
        <v>Nenhuma definida</v>
      </c>
      <c r="E36" s="81"/>
      <c r="F36" s="88"/>
      <c r="G36" s="88"/>
      <c r="H36" s="89"/>
      <c r="I36" s="90"/>
      <c r="J36" s="61">
        <f t="shared" si="0"/>
        <v>0</v>
      </c>
      <c r="K36" s="60" t="str">
        <f t="shared" si="1"/>
        <v/>
      </c>
      <c r="L36" s="60" t="str">
        <f>IF(J36,LOOKUP(C36,AJUSTE!B:B,AJUSTE!E:E),"")</f>
        <v/>
      </c>
      <c r="M36" s="62" t="str">
        <f>IF(J36,LOOKUP(C36,AJUSTE!B:B,AJUSTE!D:D),"")</f>
        <v/>
      </c>
      <c r="O36" s="1" t="str">
        <f t="shared" si="2"/>
        <v/>
      </c>
      <c r="P36" s="1" t="str">
        <f t="shared" si="3"/>
        <v xml:space="preserve">NULL </v>
      </c>
      <c r="Q36" s="1" t="str">
        <f t="shared" si="4"/>
        <v/>
      </c>
      <c r="R36" s="1" t="str">
        <f t="shared" si="5"/>
        <v/>
      </c>
      <c r="S36" s="1" t="str">
        <f t="shared" si="6"/>
        <v/>
      </c>
      <c r="T36" s="1"/>
      <c r="U36" s="1"/>
      <c r="V36" s="1"/>
      <c r="W36" s="1"/>
      <c r="X36" s="1"/>
    </row>
    <row r="37" spans="1:24" x14ac:dyDescent="0.25">
      <c r="A37" s="46">
        <v>28</v>
      </c>
      <c r="B37" s="59"/>
      <c r="C37" s="79">
        <v>30</v>
      </c>
      <c r="D37" s="60" t="str">
        <f>LOOKUP(C37,AJUSTE!B:B,AJUSTE!C:C)</f>
        <v>Nenhuma definida</v>
      </c>
      <c r="E37" s="81"/>
      <c r="F37" s="88"/>
      <c r="G37" s="88"/>
      <c r="H37" s="89"/>
      <c r="I37" s="90"/>
      <c r="J37" s="61">
        <f t="shared" si="0"/>
        <v>0</v>
      </c>
      <c r="K37" s="60" t="str">
        <f t="shared" si="1"/>
        <v/>
      </c>
      <c r="L37" s="60" t="str">
        <f>IF(J37,LOOKUP(C37,AJUSTE!B:B,AJUSTE!E:E),"")</f>
        <v/>
      </c>
      <c r="M37" s="62" t="str">
        <f>IF(J37,LOOKUP(C37,AJUSTE!B:B,AJUSTE!D:D),"")</f>
        <v/>
      </c>
      <c r="O37" s="1" t="str">
        <f t="shared" si="2"/>
        <v/>
      </c>
      <c r="P37" s="1" t="str">
        <f t="shared" si="3"/>
        <v xml:space="preserve">NULL </v>
      </c>
      <c r="Q37" s="1" t="str">
        <f t="shared" si="4"/>
        <v/>
      </c>
      <c r="R37" s="1" t="str">
        <f t="shared" si="5"/>
        <v/>
      </c>
      <c r="S37" s="1" t="str">
        <f t="shared" si="6"/>
        <v/>
      </c>
      <c r="T37" s="1"/>
      <c r="U37" s="1"/>
      <c r="V37" s="1"/>
      <c r="W37" s="1"/>
      <c r="X37" s="1"/>
    </row>
    <row r="38" spans="1:24" x14ac:dyDescent="0.25">
      <c r="A38" s="46">
        <v>29</v>
      </c>
      <c r="B38" s="59"/>
      <c r="C38" s="79">
        <v>30</v>
      </c>
      <c r="D38" s="60" t="str">
        <f>LOOKUP(C38,AJUSTE!B:B,AJUSTE!C:C)</f>
        <v>Nenhuma definida</v>
      </c>
      <c r="E38" s="81"/>
      <c r="F38" s="88"/>
      <c r="G38" s="88"/>
      <c r="H38" s="89"/>
      <c r="I38" s="90"/>
      <c r="J38" s="61">
        <f t="shared" si="0"/>
        <v>0</v>
      </c>
      <c r="K38" s="60" t="str">
        <f t="shared" si="1"/>
        <v/>
      </c>
      <c r="L38" s="60" t="str">
        <f>IF(J38,LOOKUP(C38,AJUSTE!B:B,AJUSTE!E:E),"")</f>
        <v/>
      </c>
      <c r="M38" s="62" t="str">
        <f>IF(J38,LOOKUP(C38,AJUSTE!B:B,AJUSTE!D:D),"")</f>
        <v/>
      </c>
      <c r="O38" s="1" t="str">
        <f t="shared" si="2"/>
        <v/>
      </c>
      <c r="P38" s="1" t="str">
        <f t="shared" si="3"/>
        <v xml:space="preserve">NULL </v>
      </c>
      <c r="Q38" s="1" t="str">
        <f t="shared" si="4"/>
        <v/>
      </c>
      <c r="R38" s="1" t="str">
        <f t="shared" si="5"/>
        <v/>
      </c>
      <c r="S38" s="1" t="str">
        <f t="shared" si="6"/>
        <v/>
      </c>
      <c r="T38" s="1"/>
      <c r="U38" s="1"/>
      <c r="V38" s="1"/>
      <c r="W38" s="1"/>
      <c r="X38" s="1"/>
    </row>
    <row r="39" spans="1:24" x14ac:dyDescent="0.25">
      <c r="A39" s="46">
        <v>30</v>
      </c>
      <c r="B39" s="59"/>
      <c r="C39" s="79">
        <v>30</v>
      </c>
      <c r="D39" s="60" t="str">
        <f>LOOKUP(C39,AJUSTE!B:B,AJUSTE!C:C)</f>
        <v>Nenhuma definida</v>
      </c>
      <c r="E39" s="81"/>
      <c r="F39" s="88"/>
      <c r="G39" s="88"/>
      <c r="H39" s="89"/>
      <c r="I39" s="90"/>
      <c r="J39" s="61">
        <f t="shared" si="0"/>
        <v>0</v>
      </c>
      <c r="K39" s="60" t="str">
        <f t="shared" si="1"/>
        <v/>
      </c>
      <c r="L39" s="60" t="str">
        <f>IF(J39,LOOKUP(C39,AJUSTE!B:B,AJUSTE!E:E),"")</f>
        <v/>
      </c>
      <c r="M39" s="62" t="str">
        <f>IF(J39,LOOKUP(C39,AJUSTE!B:B,AJUSTE!D:D),"")</f>
        <v/>
      </c>
      <c r="O39" s="1" t="str">
        <f t="shared" si="2"/>
        <v/>
      </c>
      <c r="P39" s="1" t="str">
        <f t="shared" si="3"/>
        <v xml:space="preserve">NULL </v>
      </c>
      <c r="Q39" s="1" t="str">
        <f t="shared" si="4"/>
        <v/>
      </c>
      <c r="R39" s="1" t="str">
        <f t="shared" si="5"/>
        <v/>
      </c>
      <c r="S39" s="1" t="str">
        <f t="shared" si="6"/>
        <v/>
      </c>
      <c r="T39" s="1"/>
      <c r="U39" s="1"/>
      <c r="V39" s="1"/>
      <c r="W39" s="1"/>
      <c r="X39" s="1"/>
    </row>
    <row r="40" spans="1:24" x14ac:dyDescent="0.25">
      <c r="A40" s="46">
        <v>31</v>
      </c>
      <c r="B40" s="59"/>
      <c r="C40" s="79">
        <v>30</v>
      </c>
      <c r="D40" s="60" t="str">
        <f>LOOKUP(C40,AJUSTE!B:B,AJUSTE!C:C)</f>
        <v>Nenhuma definida</v>
      </c>
      <c r="E40" s="81"/>
      <c r="F40" s="88"/>
      <c r="G40" s="88"/>
      <c r="H40" s="89"/>
      <c r="I40" s="90"/>
      <c r="J40" s="61">
        <f t="shared" si="0"/>
        <v>0</v>
      </c>
      <c r="K40" s="60" t="str">
        <f t="shared" si="1"/>
        <v/>
      </c>
      <c r="L40" s="60" t="str">
        <f>IF(J40,LOOKUP(C40,AJUSTE!B:B,AJUSTE!E:E),"")</f>
        <v/>
      </c>
      <c r="M40" s="62" t="str">
        <f>IF(J40,LOOKUP(C40,AJUSTE!B:B,AJUSTE!D:D),"")</f>
        <v/>
      </c>
      <c r="O40" s="1" t="str">
        <f t="shared" si="2"/>
        <v/>
      </c>
      <c r="P40" s="1" t="str">
        <f t="shared" si="3"/>
        <v xml:space="preserve">NULL </v>
      </c>
      <c r="Q40" s="1" t="str">
        <f t="shared" si="4"/>
        <v/>
      </c>
      <c r="R40" s="1" t="str">
        <f t="shared" si="5"/>
        <v/>
      </c>
      <c r="S40" s="1" t="str">
        <f t="shared" si="6"/>
        <v/>
      </c>
      <c r="T40" s="1"/>
      <c r="U40" s="1"/>
      <c r="V40" s="1"/>
      <c r="W40" s="1"/>
      <c r="X40" s="1"/>
    </row>
    <row r="41" spans="1:24" x14ac:dyDescent="0.25">
      <c r="A41" s="46">
        <v>32</v>
      </c>
      <c r="B41" s="59"/>
      <c r="C41" s="79">
        <v>30</v>
      </c>
      <c r="D41" s="60" t="str">
        <f>LOOKUP(C41,AJUSTE!B:B,AJUSTE!C:C)</f>
        <v>Nenhuma definida</v>
      </c>
      <c r="E41" s="81"/>
      <c r="F41" s="88"/>
      <c r="G41" s="88"/>
      <c r="H41" s="89"/>
      <c r="I41" s="90"/>
      <c r="J41" s="61">
        <f t="shared" si="0"/>
        <v>0</v>
      </c>
      <c r="K41" s="60" t="str">
        <f t="shared" si="1"/>
        <v/>
      </c>
      <c r="L41" s="60" t="str">
        <f>IF(J41,LOOKUP(C41,AJUSTE!B:B,AJUSTE!E:E),"")</f>
        <v/>
      </c>
      <c r="M41" s="62" t="str">
        <f>IF(J41,LOOKUP(C41,AJUSTE!B:B,AJUSTE!D:D),"")</f>
        <v/>
      </c>
      <c r="O41" s="1" t="str">
        <f t="shared" si="2"/>
        <v/>
      </c>
      <c r="P41" s="1" t="str">
        <f t="shared" si="3"/>
        <v xml:space="preserve">NULL </v>
      </c>
      <c r="Q41" s="1" t="str">
        <f t="shared" si="4"/>
        <v/>
      </c>
      <c r="R41" s="1" t="str">
        <f t="shared" si="5"/>
        <v/>
      </c>
      <c r="S41" s="1" t="str">
        <f t="shared" si="6"/>
        <v/>
      </c>
      <c r="T41" s="1"/>
      <c r="U41" s="1"/>
      <c r="V41" s="1"/>
      <c r="W41" s="1"/>
      <c r="X41" s="1"/>
    </row>
    <row r="42" spans="1:24" x14ac:dyDescent="0.25">
      <c r="A42" s="46">
        <v>33</v>
      </c>
      <c r="B42" s="59"/>
      <c r="C42" s="79">
        <v>30</v>
      </c>
      <c r="D42" s="60" t="str">
        <f>LOOKUP(C42,AJUSTE!B:B,AJUSTE!C:C)</f>
        <v>Nenhuma definida</v>
      </c>
      <c r="E42" s="81"/>
      <c r="F42" s="88"/>
      <c r="G42" s="88"/>
      <c r="H42" s="89"/>
      <c r="I42" s="90"/>
      <c r="J42" s="61">
        <f t="shared" si="0"/>
        <v>0</v>
      </c>
      <c r="K42" s="60" t="str">
        <f t="shared" si="1"/>
        <v/>
      </c>
      <c r="L42" s="60" t="str">
        <f>IF(J42,LOOKUP(C42,AJUSTE!B:B,AJUSTE!E:E),"")</f>
        <v/>
      </c>
      <c r="M42" s="62" t="str">
        <f>IF(J42,LOOKUP(C42,AJUSTE!B:B,AJUSTE!D:D),"")</f>
        <v/>
      </c>
      <c r="O42" s="1" t="str">
        <f t="shared" si="2"/>
        <v/>
      </c>
      <c r="P42" s="1" t="str">
        <f t="shared" si="3"/>
        <v xml:space="preserve">NULL </v>
      </c>
      <c r="Q42" s="1" t="str">
        <f t="shared" si="4"/>
        <v/>
      </c>
      <c r="R42" s="1" t="str">
        <f t="shared" si="5"/>
        <v/>
      </c>
      <c r="S42" s="1" t="str">
        <f t="shared" si="6"/>
        <v/>
      </c>
      <c r="T42" s="1"/>
      <c r="U42" s="1"/>
      <c r="V42" s="1"/>
      <c r="W42" s="1"/>
      <c r="X42" s="1"/>
    </row>
    <row r="43" spans="1:24" x14ac:dyDescent="0.25">
      <c r="A43" s="46">
        <v>34</v>
      </c>
      <c r="B43" s="59"/>
      <c r="C43" s="79">
        <v>30</v>
      </c>
      <c r="D43" s="60" t="str">
        <f>LOOKUP(C43,AJUSTE!B:B,AJUSTE!C:C)</f>
        <v>Nenhuma definida</v>
      </c>
      <c r="E43" s="81"/>
      <c r="F43" s="88"/>
      <c r="G43" s="88"/>
      <c r="H43" s="89"/>
      <c r="I43" s="90"/>
      <c r="J43" s="61">
        <f t="shared" si="0"/>
        <v>0</v>
      </c>
      <c r="K43" s="60" t="str">
        <f t="shared" si="1"/>
        <v/>
      </c>
      <c r="L43" s="60" t="str">
        <f>IF(J43,LOOKUP(C43,AJUSTE!B:B,AJUSTE!E:E),"")</f>
        <v/>
      </c>
      <c r="M43" s="62" t="str">
        <f>IF(J43,LOOKUP(C43,AJUSTE!B:B,AJUSTE!D:D),"")</f>
        <v/>
      </c>
      <c r="O43" s="1" t="str">
        <f t="shared" si="2"/>
        <v/>
      </c>
      <c r="P43" s="1" t="str">
        <f t="shared" si="3"/>
        <v xml:space="preserve">NULL </v>
      </c>
      <c r="Q43" s="1" t="str">
        <f t="shared" si="4"/>
        <v/>
      </c>
      <c r="R43" s="1" t="str">
        <f t="shared" si="5"/>
        <v/>
      </c>
      <c r="S43" s="1" t="str">
        <f t="shared" si="6"/>
        <v/>
      </c>
      <c r="T43" s="1"/>
      <c r="U43" s="1"/>
      <c r="V43" s="1"/>
      <c r="W43" s="1"/>
      <c r="X43" s="1"/>
    </row>
    <row r="44" spans="1:24" x14ac:dyDescent="0.25">
      <c r="A44" s="46">
        <v>35</v>
      </c>
      <c r="B44" s="59"/>
      <c r="C44" s="79">
        <v>30</v>
      </c>
      <c r="D44" s="60" t="str">
        <f>LOOKUP(C44,AJUSTE!B:B,AJUSTE!C:C)</f>
        <v>Nenhuma definida</v>
      </c>
      <c r="E44" s="81"/>
      <c r="F44" s="88"/>
      <c r="G44" s="88"/>
      <c r="H44" s="89"/>
      <c r="I44" s="90"/>
      <c r="J44" s="61">
        <f t="shared" si="0"/>
        <v>0</v>
      </c>
      <c r="K44" s="60" t="str">
        <f t="shared" si="1"/>
        <v/>
      </c>
      <c r="L44" s="60" t="str">
        <f>IF(J44,LOOKUP(C44,AJUSTE!B:B,AJUSTE!E:E),"")</f>
        <v/>
      </c>
      <c r="M44" s="62" t="str">
        <f>IF(J44,LOOKUP(C44,AJUSTE!B:B,AJUSTE!D:D),"")</f>
        <v/>
      </c>
      <c r="O44" s="1" t="str">
        <f t="shared" si="2"/>
        <v/>
      </c>
      <c r="P44" s="1" t="str">
        <f t="shared" si="3"/>
        <v xml:space="preserve">NULL </v>
      </c>
      <c r="Q44" s="1" t="str">
        <f t="shared" si="4"/>
        <v/>
      </c>
      <c r="R44" s="1" t="str">
        <f t="shared" si="5"/>
        <v/>
      </c>
      <c r="S44" s="1" t="str">
        <f t="shared" si="6"/>
        <v/>
      </c>
      <c r="T44" s="1"/>
      <c r="U44" s="1"/>
      <c r="V44" s="1"/>
      <c r="W44" s="1"/>
      <c r="X44" s="1"/>
    </row>
    <row r="45" spans="1:24" x14ac:dyDescent="0.25">
      <c r="A45" s="46">
        <v>36</v>
      </c>
      <c r="B45" s="59"/>
      <c r="C45" s="79">
        <v>30</v>
      </c>
      <c r="D45" s="60" t="str">
        <f>LOOKUP(C45,AJUSTE!B:B,AJUSTE!C:C)</f>
        <v>Nenhuma definida</v>
      </c>
      <c r="E45" s="81"/>
      <c r="F45" s="88"/>
      <c r="G45" s="88"/>
      <c r="H45" s="89"/>
      <c r="I45" s="90"/>
      <c r="J45" s="61">
        <f t="shared" si="0"/>
        <v>0</v>
      </c>
      <c r="K45" s="60" t="str">
        <f t="shared" si="1"/>
        <v/>
      </c>
      <c r="L45" s="60" t="str">
        <f>IF(J45,LOOKUP(C45,AJUSTE!B:B,AJUSTE!E:E),"")</f>
        <v/>
      </c>
      <c r="M45" s="62" t="str">
        <f>IF(J45,LOOKUP(C45,AJUSTE!B:B,AJUSTE!D:D),"")</f>
        <v/>
      </c>
      <c r="O45" s="1" t="str">
        <f t="shared" si="2"/>
        <v/>
      </c>
      <c r="P45" s="1" t="str">
        <f t="shared" si="3"/>
        <v xml:space="preserve">NULL </v>
      </c>
      <c r="Q45" s="1" t="str">
        <f t="shared" si="4"/>
        <v/>
      </c>
      <c r="R45" s="1" t="str">
        <f t="shared" si="5"/>
        <v/>
      </c>
      <c r="S45" s="1" t="str">
        <f t="shared" si="6"/>
        <v/>
      </c>
      <c r="T45" s="1"/>
      <c r="U45" s="1"/>
      <c r="V45" s="1"/>
      <c r="W45" s="1"/>
      <c r="X45" s="1"/>
    </row>
    <row r="46" spans="1:24" x14ac:dyDescent="0.25">
      <c r="A46" s="46">
        <v>37</v>
      </c>
      <c r="B46" s="59"/>
      <c r="C46" s="79">
        <v>30</v>
      </c>
      <c r="D46" s="60" t="str">
        <f>LOOKUP(C46,AJUSTE!B:B,AJUSTE!C:C)</f>
        <v>Nenhuma definida</v>
      </c>
      <c r="E46" s="81"/>
      <c r="F46" s="88"/>
      <c r="G46" s="88"/>
      <c r="H46" s="89"/>
      <c r="I46" s="90"/>
      <c r="J46" s="61">
        <f t="shared" si="0"/>
        <v>0</v>
      </c>
      <c r="K46" s="60" t="str">
        <f t="shared" si="1"/>
        <v/>
      </c>
      <c r="L46" s="60" t="str">
        <f>IF(J46,LOOKUP(C46,AJUSTE!B:B,AJUSTE!E:E),"")</f>
        <v/>
      </c>
      <c r="M46" s="62" t="str">
        <f>IF(J46,LOOKUP(C46,AJUSTE!B:B,AJUSTE!D:D),"")</f>
        <v/>
      </c>
      <c r="O46" s="1" t="str">
        <f t="shared" si="2"/>
        <v/>
      </c>
      <c r="P46" s="1" t="str">
        <f t="shared" si="3"/>
        <v xml:space="preserve">NULL </v>
      </c>
      <c r="Q46" s="1" t="str">
        <f t="shared" si="4"/>
        <v/>
      </c>
      <c r="R46" s="1" t="str">
        <f t="shared" si="5"/>
        <v/>
      </c>
      <c r="S46" s="1" t="str">
        <f t="shared" si="6"/>
        <v/>
      </c>
      <c r="T46" s="1"/>
      <c r="U46" s="1"/>
      <c r="V46" s="1"/>
      <c r="W46" s="1"/>
      <c r="X46" s="1"/>
    </row>
    <row r="47" spans="1:24" x14ac:dyDescent="0.25">
      <c r="A47" s="46">
        <v>38</v>
      </c>
      <c r="B47" s="59"/>
      <c r="C47" s="79">
        <v>30</v>
      </c>
      <c r="D47" s="60" t="str">
        <f>LOOKUP(C47,AJUSTE!B:B,AJUSTE!C:C)</f>
        <v>Nenhuma definida</v>
      </c>
      <c r="E47" s="81"/>
      <c r="F47" s="88"/>
      <c r="G47" s="88"/>
      <c r="H47" s="89"/>
      <c r="I47" s="90"/>
      <c r="J47" s="61">
        <f t="shared" si="0"/>
        <v>0</v>
      </c>
      <c r="K47" s="60" t="str">
        <f t="shared" si="1"/>
        <v/>
      </c>
      <c r="L47" s="60" t="str">
        <f>IF(J47,LOOKUP(C47,AJUSTE!B:B,AJUSTE!E:E),"")</f>
        <v/>
      </c>
      <c r="M47" s="62" t="str">
        <f>IF(J47,LOOKUP(C47,AJUSTE!B:B,AJUSTE!D:D),"")</f>
        <v/>
      </c>
      <c r="O47" s="1" t="str">
        <f t="shared" si="2"/>
        <v/>
      </c>
      <c r="P47" s="1" t="str">
        <f t="shared" si="3"/>
        <v xml:space="preserve">NULL </v>
      </c>
      <c r="Q47" s="1" t="str">
        <f t="shared" si="4"/>
        <v/>
      </c>
      <c r="R47" s="1" t="str">
        <f t="shared" si="5"/>
        <v/>
      </c>
      <c r="S47" s="1" t="str">
        <f t="shared" si="6"/>
        <v/>
      </c>
      <c r="T47" s="1"/>
      <c r="U47" s="1"/>
      <c r="V47" s="1"/>
      <c r="W47" s="1"/>
      <c r="X47" s="1"/>
    </row>
    <row r="48" spans="1:24" x14ac:dyDescent="0.25">
      <c r="A48" s="46">
        <v>39</v>
      </c>
      <c r="B48" s="59"/>
      <c r="C48" s="79">
        <v>30</v>
      </c>
      <c r="D48" s="60" t="str">
        <f>LOOKUP(C48,AJUSTE!B:B,AJUSTE!C:C)</f>
        <v>Nenhuma definida</v>
      </c>
      <c r="E48" s="81"/>
      <c r="F48" s="88"/>
      <c r="G48" s="88"/>
      <c r="H48" s="89"/>
      <c r="I48" s="90"/>
      <c r="J48" s="61">
        <f t="shared" si="0"/>
        <v>0</v>
      </c>
      <c r="K48" s="60" t="str">
        <f t="shared" si="1"/>
        <v/>
      </c>
      <c r="L48" s="60" t="str">
        <f>IF(J48,LOOKUP(C48,AJUSTE!B:B,AJUSTE!E:E),"")</f>
        <v/>
      </c>
      <c r="M48" s="62" t="str">
        <f>IF(J48,LOOKUP(C48,AJUSTE!B:B,AJUSTE!D:D),"")</f>
        <v/>
      </c>
      <c r="O48" s="1" t="str">
        <f t="shared" si="2"/>
        <v/>
      </c>
      <c r="P48" s="1" t="str">
        <f t="shared" si="3"/>
        <v xml:space="preserve">NULL </v>
      </c>
      <c r="Q48" s="1" t="str">
        <f t="shared" si="4"/>
        <v/>
      </c>
      <c r="R48" s="1" t="str">
        <f t="shared" si="5"/>
        <v/>
      </c>
      <c r="S48" s="1" t="str">
        <f t="shared" si="6"/>
        <v/>
      </c>
      <c r="T48" s="1"/>
      <c r="U48" s="1"/>
      <c r="V48" s="1"/>
      <c r="W48" s="1"/>
      <c r="X48" s="1"/>
    </row>
    <row r="49" spans="1:24" x14ac:dyDescent="0.25">
      <c r="A49" s="46">
        <v>40</v>
      </c>
      <c r="B49" s="59"/>
      <c r="C49" s="79">
        <v>30</v>
      </c>
      <c r="D49" s="60" t="str">
        <f>LOOKUP(C49,AJUSTE!B:B,AJUSTE!C:C)</f>
        <v>Nenhuma definida</v>
      </c>
      <c r="E49" s="81"/>
      <c r="F49" s="88"/>
      <c r="G49" s="88"/>
      <c r="H49" s="89"/>
      <c r="I49" s="90"/>
      <c r="J49" s="61">
        <f t="shared" si="0"/>
        <v>0</v>
      </c>
      <c r="K49" s="60" t="str">
        <f t="shared" si="1"/>
        <v/>
      </c>
      <c r="L49" s="60" t="str">
        <f>IF(J49,LOOKUP(C49,AJUSTE!B:B,AJUSTE!E:E),"")</f>
        <v/>
      </c>
      <c r="M49" s="62" t="str">
        <f>IF(J49,LOOKUP(C49,AJUSTE!B:B,AJUSTE!D:D),"")</f>
        <v/>
      </c>
      <c r="O49" s="1" t="str">
        <f t="shared" si="2"/>
        <v/>
      </c>
      <c r="P49" s="1" t="str">
        <f t="shared" si="3"/>
        <v xml:space="preserve">NULL </v>
      </c>
      <c r="Q49" s="1" t="str">
        <f t="shared" si="4"/>
        <v/>
      </c>
      <c r="R49" s="1" t="str">
        <f t="shared" si="5"/>
        <v/>
      </c>
      <c r="S49" s="1" t="str">
        <f t="shared" si="6"/>
        <v/>
      </c>
      <c r="T49" s="1"/>
      <c r="U49" s="1"/>
      <c r="V49" s="1"/>
      <c r="W49" s="1"/>
      <c r="X49" s="1"/>
    </row>
    <row r="50" spans="1:24" x14ac:dyDescent="0.25">
      <c r="A50" s="46">
        <v>41</v>
      </c>
      <c r="B50" s="59"/>
      <c r="C50" s="79">
        <v>30</v>
      </c>
      <c r="D50" s="60" t="str">
        <f>LOOKUP(C50,AJUSTE!B:B,AJUSTE!C:C)</f>
        <v>Nenhuma definida</v>
      </c>
      <c r="E50" s="81"/>
      <c r="F50" s="88"/>
      <c r="G50" s="88"/>
      <c r="H50" s="89"/>
      <c r="I50" s="90"/>
      <c r="J50" s="61">
        <f t="shared" si="0"/>
        <v>0</v>
      </c>
      <c r="K50" s="60" t="str">
        <f t="shared" si="1"/>
        <v/>
      </c>
      <c r="L50" s="60" t="str">
        <f>IF(J50,LOOKUP(C50,AJUSTE!B:B,AJUSTE!E:E),"")</f>
        <v/>
      </c>
      <c r="M50" s="62" t="str">
        <f>IF(J50,LOOKUP(C50,AJUSTE!B:B,AJUSTE!D:D),"")</f>
        <v/>
      </c>
      <c r="O50" s="1" t="str">
        <f t="shared" si="2"/>
        <v/>
      </c>
      <c r="P50" s="1" t="str">
        <f t="shared" si="3"/>
        <v xml:space="preserve">NULL </v>
      </c>
      <c r="Q50" s="1" t="str">
        <f t="shared" si="4"/>
        <v/>
      </c>
      <c r="R50" s="1" t="str">
        <f t="shared" si="5"/>
        <v/>
      </c>
      <c r="S50" s="1" t="str">
        <f t="shared" si="6"/>
        <v/>
      </c>
      <c r="T50" s="1"/>
      <c r="U50" s="1"/>
      <c r="V50" s="1"/>
      <c r="W50" s="1"/>
      <c r="X50" s="1"/>
    </row>
    <row r="51" spans="1:24" x14ac:dyDescent="0.25">
      <c r="A51" s="46">
        <v>42</v>
      </c>
      <c r="B51" s="59"/>
      <c r="C51" s="79">
        <v>30</v>
      </c>
      <c r="D51" s="60" t="str">
        <f>LOOKUP(C51,AJUSTE!B:B,AJUSTE!C:C)</f>
        <v>Nenhuma definida</v>
      </c>
      <c r="E51" s="81"/>
      <c r="F51" s="88"/>
      <c r="G51" s="88"/>
      <c r="H51" s="89"/>
      <c r="I51" s="90"/>
      <c r="J51" s="61">
        <f t="shared" si="0"/>
        <v>0</v>
      </c>
      <c r="K51" s="60" t="str">
        <f t="shared" si="1"/>
        <v/>
      </c>
      <c r="L51" s="60" t="str">
        <f>IF(J51,LOOKUP(C51,AJUSTE!B:B,AJUSTE!E:E),"")</f>
        <v/>
      </c>
      <c r="M51" s="62" t="str">
        <f>IF(J51,LOOKUP(C51,AJUSTE!B:B,AJUSTE!D:D),"")</f>
        <v/>
      </c>
      <c r="O51" s="1" t="str">
        <f t="shared" si="2"/>
        <v/>
      </c>
      <c r="P51" s="1" t="str">
        <f t="shared" si="3"/>
        <v xml:space="preserve">NULL </v>
      </c>
      <c r="Q51" s="1" t="str">
        <f t="shared" si="4"/>
        <v/>
      </c>
      <c r="R51" s="1" t="str">
        <f t="shared" si="5"/>
        <v/>
      </c>
      <c r="S51" s="1" t="str">
        <f t="shared" si="6"/>
        <v/>
      </c>
      <c r="T51" s="1"/>
      <c r="U51" s="1"/>
      <c r="V51" s="1"/>
      <c r="W51" s="1"/>
      <c r="X51" s="1"/>
    </row>
    <row r="52" spans="1:24" x14ac:dyDescent="0.25">
      <c r="A52" s="46">
        <v>43</v>
      </c>
      <c r="B52" s="59"/>
      <c r="C52" s="79">
        <v>30</v>
      </c>
      <c r="D52" s="60" t="str">
        <f>LOOKUP(C52,AJUSTE!B:B,AJUSTE!C:C)</f>
        <v>Nenhuma definida</v>
      </c>
      <c r="E52" s="81"/>
      <c r="F52" s="88"/>
      <c r="G52" s="88"/>
      <c r="H52" s="89"/>
      <c r="I52" s="90"/>
      <c r="J52" s="61">
        <f t="shared" si="0"/>
        <v>0</v>
      </c>
      <c r="K52" s="60" t="str">
        <f t="shared" si="1"/>
        <v/>
      </c>
      <c r="L52" s="60" t="str">
        <f>IF(J52,LOOKUP(C52,AJUSTE!B:B,AJUSTE!E:E),"")</f>
        <v/>
      </c>
      <c r="M52" s="62" t="str">
        <f>IF(J52,LOOKUP(C52,AJUSTE!B:B,AJUSTE!D:D),"")</f>
        <v/>
      </c>
      <c r="O52" s="1" t="str">
        <f t="shared" si="2"/>
        <v/>
      </c>
      <c r="P52" s="1" t="str">
        <f t="shared" si="3"/>
        <v xml:space="preserve">NULL </v>
      </c>
      <c r="Q52" s="1" t="str">
        <f t="shared" si="4"/>
        <v/>
      </c>
      <c r="R52" s="1" t="str">
        <f t="shared" si="5"/>
        <v/>
      </c>
      <c r="S52" s="1" t="str">
        <f t="shared" si="6"/>
        <v/>
      </c>
      <c r="T52" s="1"/>
      <c r="U52" s="1"/>
      <c r="V52" s="1"/>
      <c r="W52" s="1"/>
      <c r="X52" s="1"/>
    </row>
    <row r="53" spans="1:24" x14ac:dyDescent="0.25">
      <c r="A53" s="46">
        <v>44</v>
      </c>
      <c r="B53" s="59"/>
      <c r="C53" s="79">
        <v>30</v>
      </c>
      <c r="D53" s="60" t="str">
        <f>LOOKUP(C53,AJUSTE!B:B,AJUSTE!C:C)</f>
        <v>Nenhuma definida</v>
      </c>
      <c r="E53" s="81"/>
      <c r="F53" s="88"/>
      <c r="G53" s="88"/>
      <c r="H53" s="89"/>
      <c r="I53" s="90"/>
      <c r="J53" s="61">
        <f t="shared" si="0"/>
        <v>0</v>
      </c>
      <c r="K53" s="60" t="str">
        <f t="shared" si="1"/>
        <v/>
      </c>
      <c r="L53" s="60" t="str">
        <f>IF(J53,LOOKUP(C53,AJUSTE!B:B,AJUSTE!E:E),"")</f>
        <v/>
      </c>
      <c r="M53" s="62" t="str">
        <f>IF(J53,LOOKUP(C53,AJUSTE!B:B,AJUSTE!D:D),"")</f>
        <v/>
      </c>
      <c r="O53" s="1" t="str">
        <f t="shared" si="2"/>
        <v/>
      </c>
      <c r="P53" s="1" t="str">
        <f t="shared" si="3"/>
        <v xml:space="preserve">NULL </v>
      </c>
      <c r="Q53" s="1" t="str">
        <f t="shared" si="4"/>
        <v/>
      </c>
      <c r="R53" s="1" t="str">
        <f t="shared" si="5"/>
        <v/>
      </c>
      <c r="S53" s="1" t="str">
        <f t="shared" si="6"/>
        <v/>
      </c>
      <c r="T53" s="1"/>
      <c r="U53" s="1"/>
      <c r="V53" s="1"/>
      <c r="W53" s="1"/>
      <c r="X53" s="1"/>
    </row>
    <row r="54" spans="1:24" x14ac:dyDescent="0.25">
      <c r="A54" s="46">
        <v>45</v>
      </c>
      <c r="B54" s="59"/>
      <c r="C54" s="79">
        <v>30</v>
      </c>
      <c r="D54" s="60" t="str">
        <f>LOOKUP(C54,AJUSTE!B:B,AJUSTE!C:C)</f>
        <v>Nenhuma definida</v>
      </c>
      <c r="E54" s="81"/>
      <c r="F54" s="88"/>
      <c r="G54" s="88"/>
      <c r="H54" s="89"/>
      <c r="I54" s="90"/>
      <c r="J54" s="61">
        <f t="shared" si="0"/>
        <v>0</v>
      </c>
      <c r="K54" s="60" t="str">
        <f t="shared" si="1"/>
        <v/>
      </c>
      <c r="L54" s="60" t="str">
        <f>IF(J54,LOOKUP(C54,AJUSTE!B:B,AJUSTE!E:E),"")</f>
        <v/>
      </c>
      <c r="M54" s="62" t="str">
        <f>IF(J54,LOOKUP(C54,AJUSTE!B:B,AJUSTE!D:D),"")</f>
        <v/>
      </c>
      <c r="O54" s="1" t="str">
        <f t="shared" si="2"/>
        <v/>
      </c>
      <c r="P54" s="1" t="str">
        <f t="shared" si="3"/>
        <v xml:space="preserve">NULL </v>
      </c>
      <c r="Q54" s="1" t="str">
        <f t="shared" si="4"/>
        <v/>
      </c>
      <c r="R54" s="1" t="str">
        <f t="shared" si="5"/>
        <v/>
      </c>
      <c r="S54" s="1" t="str">
        <f t="shared" si="6"/>
        <v/>
      </c>
      <c r="T54" s="1"/>
      <c r="U54" s="1"/>
      <c r="V54" s="1"/>
      <c r="W54" s="1"/>
      <c r="X54" s="1"/>
    </row>
    <row r="55" spans="1:24" x14ac:dyDescent="0.25">
      <c r="A55" s="46">
        <v>46</v>
      </c>
      <c r="B55" s="59"/>
      <c r="C55" s="79">
        <v>30</v>
      </c>
      <c r="D55" s="60" t="str">
        <f>LOOKUP(C55,AJUSTE!B:B,AJUSTE!C:C)</f>
        <v>Nenhuma definida</v>
      </c>
      <c r="E55" s="81"/>
      <c r="F55" s="88"/>
      <c r="G55" s="88"/>
      <c r="H55" s="89"/>
      <c r="I55" s="90"/>
      <c r="J55" s="61">
        <f t="shared" si="0"/>
        <v>0</v>
      </c>
      <c r="K55" s="60" t="str">
        <f t="shared" si="1"/>
        <v/>
      </c>
      <c r="L55" s="60" t="str">
        <f>IF(J55,LOOKUP(C55,AJUSTE!B:B,AJUSTE!E:E),"")</f>
        <v/>
      </c>
      <c r="M55" s="62" t="str">
        <f>IF(J55,LOOKUP(C55,AJUSTE!B:B,AJUSTE!D:D),"")</f>
        <v/>
      </c>
      <c r="O55" s="1" t="str">
        <f t="shared" si="2"/>
        <v/>
      </c>
      <c r="P55" s="1" t="str">
        <f t="shared" si="3"/>
        <v xml:space="preserve">NULL </v>
      </c>
      <c r="Q55" s="1" t="str">
        <f t="shared" si="4"/>
        <v/>
      </c>
      <c r="R55" s="1" t="str">
        <f t="shared" si="5"/>
        <v/>
      </c>
      <c r="S55" s="1" t="str">
        <f t="shared" si="6"/>
        <v/>
      </c>
      <c r="T55" s="1"/>
      <c r="U55" s="1"/>
      <c r="V55" s="1"/>
      <c r="W55" s="1"/>
      <c r="X55" s="1"/>
    </row>
    <row r="56" spans="1:24" x14ac:dyDescent="0.25">
      <c r="A56" s="46">
        <v>47</v>
      </c>
      <c r="B56" s="59"/>
      <c r="C56" s="79">
        <v>30</v>
      </c>
      <c r="D56" s="60" t="str">
        <f>LOOKUP(C56,AJUSTE!B:B,AJUSTE!C:C)</f>
        <v>Nenhuma definida</v>
      </c>
      <c r="E56" s="81"/>
      <c r="F56" s="88"/>
      <c r="G56" s="88"/>
      <c r="H56" s="89"/>
      <c r="I56" s="90"/>
      <c r="J56" s="61">
        <f t="shared" si="0"/>
        <v>0</v>
      </c>
      <c r="K56" s="60" t="str">
        <f t="shared" si="1"/>
        <v/>
      </c>
      <c r="L56" s="60" t="str">
        <f>IF(J56,LOOKUP(C56,AJUSTE!B:B,AJUSTE!E:E),"")</f>
        <v/>
      </c>
      <c r="M56" s="62" t="str">
        <f>IF(J56,LOOKUP(C56,AJUSTE!B:B,AJUSTE!D:D),"")</f>
        <v/>
      </c>
      <c r="O56" s="1" t="str">
        <f t="shared" si="2"/>
        <v/>
      </c>
      <c r="P56" s="1" t="str">
        <f t="shared" si="3"/>
        <v xml:space="preserve">NULL </v>
      </c>
      <c r="Q56" s="1" t="str">
        <f t="shared" si="4"/>
        <v/>
      </c>
      <c r="R56" s="1" t="str">
        <f t="shared" si="5"/>
        <v/>
      </c>
      <c r="S56" s="1" t="str">
        <f t="shared" si="6"/>
        <v/>
      </c>
      <c r="T56" s="1"/>
      <c r="U56" s="1"/>
      <c r="V56" s="1"/>
      <c r="W56" s="1"/>
      <c r="X56" s="1"/>
    </row>
    <row r="57" spans="1:24" x14ac:dyDescent="0.25">
      <c r="A57" s="46">
        <v>48</v>
      </c>
      <c r="B57" s="59"/>
      <c r="C57" s="79">
        <v>30</v>
      </c>
      <c r="D57" s="60" t="str">
        <f>LOOKUP(C57,AJUSTE!B:B,AJUSTE!C:C)</f>
        <v>Nenhuma definida</v>
      </c>
      <c r="E57" s="81"/>
      <c r="F57" s="88"/>
      <c r="G57" s="88"/>
      <c r="H57" s="89"/>
      <c r="I57" s="90"/>
      <c r="J57" s="61">
        <f t="shared" si="0"/>
        <v>0</v>
      </c>
      <c r="K57" s="60" t="str">
        <f t="shared" si="1"/>
        <v/>
      </c>
      <c r="L57" s="60" t="str">
        <f>IF(J57,LOOKUP(C57,AJUSTE!B:B,AJUSTE!E:E),"")</f>
        <v/>
      </c>
      <c r="M57" s="62" t="str">
        <f>IF(J57,LOOKUP(C57,AJUSTE!B:B,AJUSTE!D:D),"")</f>
        <v/>
      </c>
      <c r="O57" s="1" t="str">
        <f t="shared" si="2"/>
        <v/>
      </c>
      <c r="P57" s="1" t="str">
        <f t="shared" si="3"/>
        <v xml:space="preserve">NULL </v>
      </c>
      <c r="Q57" s="1" t="str">
        <f t="shared" si="4"/>
        <v/>
      </c>
      <c r="R57" s="1" t="str">
        <f t="shared" si="5"/>
        <v/>
      </c>
      <c r="S57" s="1" t="str">
        <f t="shared" si="6"/>
        <v/>
      </c>
      <c r="T57" s="1"/>
      <c r="U57" s="1"/>
      <c r="V57" s="1"/>
      <c r="W57" s="1"/>
      <c r="X57" s="1"/>
    </row>
    <row r="58" spans="1:24" x14ac:dyDescent="0.25">
      <c r="A58" s="46">
        <v>49</v>
      </c>
      <c r="B58" s="59"/>
      <c r="C58" s="79">
        <v>30</v>
      </c>
      <c r="D58" s="60" t="str">
        <f>LOOKUP(C58,AJUSTE!B:B,AJUSTE!C:C)</f>
        <v>Nenhuma definida</v>
      </c>
      <c r="E58" s="81"/>
      <c r="F58" s="88"/>
      <c r="G58" s="88"/>
      <c r="H58" s="89"/>
      <c r="I58" s="90"/>
      <c r="J58" s="61">
        <f t="shared" si="0"/>
        <v>0</v>
      </c>
      <c r="K58" s="60" t="str">
        <f t="shared" si="1"/>
        <v/>
      </c>
      <c r="L58" s="60" t="str">
        <f>IF(J58,LOOKUP(C58,AJUSTE!B:B,AJUSTE!E:E),"")</f>
        <v/>
      </c>
      <c r="M58" s="62" t="str">
        <f>IF(J58,LOOKUP(C58,AJUSTE!B:B,AJUSTE!D:D),"")</f>
        <v/>
      </c>
      <c r="O58" s="1" t="str">
        <f t="shared" si="2"/>
        <v/>
      </c>
      <c r="P58" s="1" t="str">
        <f t="shared" si="3"/>
        <v xml:space="preserve">NULL </v>
      </c>
      <c r="Q58" s="1" t="str">
        <f t="shared" si="4"/>
        <v/>
      </c>
      <c r="R58" s="1" t="str">
        <f t="shared" si="5"/>
        <v/>
      </c>
      <c r="S58" s="1" t="str">
        <f t="shared" si="6"/>
        <v/>
      </c>
      <c r="T58" s="1"/>
      <c r="U58" s="1"/>
      <c r="V58" s="1"/>
      <c r="W58" s="1"/>
      <c r="X58" s="1"/>
    </row>
    <row r="59" spans="1:24" x14ac:dyDescent="0.25">
      <c r="A59" s="46">
        <v>50</v>
      </c>
      <c r="B59" s="59"/>
      <c r="C59" s="79">
        <v>30</v>
      </c>
      <c r="D59" s="60" t="str">
        <f>LOOKUP(C59,AJUSTE!B:B,AJUSTE!C:C)</f>
        <v>Nenhuma definida</v>
      </c>
      <c r="E59" s="81"/>
      <c r="F59" s="88"/>
      <c r="G59" s="88"/>
      <c r="H59" s="89"/>
      <c r="I59" s="90"/>
      <c r="J59" s="61">
        <f t="shared" si="0"/>
        <v>0</v>
      </c>
      <c r="K59" s="60" t="str">
        <f t="shared" si="1"/>
        <v/>
      </c>
      <c r="L59" s="60" t="str">
        <f>IF(J59,LOOKUP(C59,AJUSTE!B:B,AJUSTE!E:E),"")</f>
        <v/>
      </c>
      <c r="M59" s="62" t="str">
        <f>IF(J59,LOOKUP(C59,AJUSTE!B:B,AJUSTE!D:D),"")</f>
        <v/>
      </c>
      <c r="O59" s="1" t="str">
        <f t="shared" si="2"/>
        <v/>
      </c>
      <c r="P59" s="1" t="str">
        <f t="shared" si="3"/>
        <v xml:space="preserve">NULL </v>
      </c>
      <c r="Q59" s="1" t="str">
        <f t="shared" si="4"/>
        <v/>
      </c>
      <c r="R59" s="1" t="str">
        <f t="shared" si="5"/>
        <v/>
      </c>
      <c r="S59" s="1" t="str">
        <f t="shared" si="6"/>
        <v/>
      </c>
      <c r="T59" s="1"/>
      <c r="U59" s="1"/>
      <c r="V59" s="1"/>
      <c r="W59" s="1"/>
      <c r="X59" s="1"/>
    </row>
    <row r="60" spans="1:24" x14ac:dyDescent="0.25">
      <c r="A60" s="46">
        <v>51</v>
      </c>
      <c r="B60" s="59"/>
      <c r="C60" s="79">
        <v>30</v>
      </c>
      <c r="D60" s="60" t="str">
        <f>LOOKUP(C60,AJUSTE!B:B,AJUSTE!C:C)</f>
        <v>Nenhuma definida</v>
      </c>
      <c r="E60" s="81"/>
      <c r="F60" s="88"/>
      <c r="G60" s="88"/>
      <c r="H60" s="89"/>
      <c r="I60" s="90"/>
      <c r="J60" s="61">
        <f t="shared" si="0"/>
        <v>0</v>
      </c>
      <c r="K60" s="60" t="str">
        <f t="shared" si="1"/>
        <v/>
      </c>
      <c r="L60" s="60" t="str">
        <f>IF(J60,LOOKUP(C60,AJUSTE!B:B,AJUSTE!E:E),"")</f>
        <v/>
      </c>
      <c r="M60" s="62" t="str">
        <f>IF(J60,LOOKUP(C60,AJUSTE!B:B,AJUSTE!D:D),"")</f>
        <v/>
      </c>
      <c r="O60" s="1" t="str">
        <f t="shared" si="2"/>
        <v/>
      </c>
      <c r="P60" s="1" t="str">
        <f t="shared" si="3"/>
        <v xml:space="preserve">NULL </v>
      </c>
      <c r="Q60" s="1" t="str">
        <f t="shared" si="4"/>
        <v/>
      </c>
      <c r="R60" s="1" t="str">
        <f t="shared" si="5"/>
        <v/>
      </c>
      <c r="S60" s="1" t="str">
        <f t="shared" si="6"/>
        <v/>
      </c>
      <c r="T60" s="1"/>
      <c r="U60" s="1"/>
      <c r="V60" s="1"/>
      <c r="W60" s="1"/>
      <c r="X60" s="1"/>
    </row>
    <row r="61" spans="1:24" x14ac:dyDescent="0.25">
      <c r="A61" s="46">
        <v>52</v>
      </c>
      <c r="B61" s="59"/>
      <c r="C61" s="79">
        <v>30</v>
      </c>
      <c r="D61" s="60" t="str">
        <f>LOOKUP(C61,AJUSTE!B:B,AJUSTE!C:C)</f>
        <v>Nenhuma definida</v>
      </c>
      <c r="E61" s="81"/>
      <c r="F61" s="88"/>
      <c r="G61" s="88"/>
      <c r="H61" s="89"/>
      <c r="I61" s="90"/>
      <c r="J61" s="61">
        <f t="shared" si="0"/>
        <v>0</v>
      </c>
      <c r="K61" s="60" t="str">
        <f t="shared" si="1"/>
        <v/>
      </c>
      <c r="L61" s="60" t="str">
        <f>IF(J61,LOOKUP(C61,AJUSTE!B:B,AJUSTE!E:E),"")</f>
        <v/>
      </c>
      <c r="M61" s="62" t="str">
        <f>IF(J61,LOOKUP(C61,AJUSTE!B:B,AJUSTE!D:D),"")</f>
        <v/>
      </c>
      <c r="O61" s="1" t="str">
        <f t="shared" si="2"/>
        <v/>
      </c>
      <c r="P61" s="1" t="str">
        <f t="shared" si="3"/>
        <v xml:space="preserve">NULL </v>
      </c>
      <c r="Q61" s="1" t="str">
        <f t="shared" si="4"/>
        <v/>
      </c>
      <c r="R61" s="1" t="str">
        <f t="shared" si="5"/>
        <v/>
      </c>
      <c r="S61" s="1" t="str">
        <f t="shared" si="6"/>
        <v/>
      </c>
      <c r="T61" s="1"/>
      <c r="U61" s="1"/>
      <c r="V61" s="1"/>
      <c r="W61" s="1"/>
      <c r="X61" s="1"/>
    </row>
    <row r="62" spans="1:24" x14ac:dyDescent="0.25">
      <c r="A62" s="46">
        <v>53</v>
      </c>
      <c r="B62" s="59"/>
      <c r="C62" s="79">
        <v>30</v>
      </c>
      <c r="D62" s="60" t="str">
        <f>LOOKUP(C62,AJUSTE!B:B,AJUSTE!C:C)</f>
        <v>Nenhuma definida</v>
      </c>
      <c r="E62" s="81"/>
      <c r="F62" s="88"/>
      <c r="G62" s="88"/>
      <c r="H62" s="89"/>
      <c r="I62" s="90"/>
      <c r="J62" s="61">
        <f t="shared" si="0"/>
        <v>0</v>
      </c>
      <c r="K62" s="60" t="str">
        <f t="shared" si="1"/>
        <v/>
      </c>
      <c r="L62" s="60" t="str">
        <f>IF(J62,LOOKUP(C62,AJUSTE!B:B,AJUSTE!E:E),"")</f>
        <v/>
      </c>
      <c r="M62" s="62" t="str">
        <f>IF(J62,LOOKUP(C62,AJUSTE!B:B,AJUSTE!D:D),"")</f>
        <v/>
      </c>
      <c r="O62" s="1" t="str">
        <f t="shared" si="2"/>
        <v/>
      </c>
      <c r="P62" s="1" t="str">
        <f t="shared" si="3"/>
        <v xml:space="preserve">NULL </v>
      </c>
      <c r="Q62" s="1" t="str">
        <f t="shared" si="4"/>
        <v/>
      </c>
      <c r="R62" s="1" t="str">
        <f t="shared" si="5"/>
        <v/>
      </c>
      <c r="S62" s="1" t="str">
        <f t="shared" si="6"/>
        <v/>
      </c>
      <c r="T62" s="1"/>
      <c r="U62" s="1"/>
      <c r="V62" s="1"/>
      <c r="W62" s="1"/>
      <c r="X62" s="1"/>
    </row>
    <row r="63" spans="1:24" x14ac:dyDescent="0.25">
      <c r="A63" s="46">
        <v>54</v>
      </c>
      <c r="B63" s="59"/>
      <c r="C63" s="79">
        <v>30</v>
      </c>
      <c r="D63" s="60" t="str">
        <f>LOOKUP(C63,AJUSTE!B:B,AJUSTE!C:C)</f>
        <v>Nenhuma definida</v>
      </c>
      <c r="E63" s="81"/>
      <c r="F63" s="88"/>
      <c r="G63" s="88"/>
      <c r="H63" s="89"/>
      <c r="I63" s="90"/>
      <c r="J63" s="61">
        <f t="shared" si="0"/>
        <v>0</v>
      </c>
      <c r="K63" s="60" t="str">
        <f t="shared" si="1"/>
        <v/>
      </c>
      <c r="L63" s="60" t="str">
        <f>IF(J63,LOOKUP(C63,AJUSTE!B:B,AJUSTE!E:E),"")</f>
        <v/>
      </c>
      <c r="M63" s="62" t="str">
        <f>IF(J63,LOOKUP(C63,AJUSTE!B:B,AJUSTE!D:D),"")</f>
        <v/>
      </c>
      <c r="O63" s="1" t="str">
        <f t="shared" si="2"/>
        <v/>
      </c>
      <c r="P63" s="1" t="str">
        <f t="shared" si="3"/>
        <v xml:space="preserve">NULL </v>
      </c>
      <c r="Q63" s="1" t="str">
        <f t="shared" si="4"/>
        <v/>
      </c>
      <c r="R63" s="1" t="str">
        <f t="shared" si="5"/>
        <v/>
      </c>
      <c r="S63" s="1" t="str">
        <f t="shared" si="6"/>
        <v/>
      </c>
      <c r="T63" s="1"/>
      <c r="U63" s="1"/>
      <c r="V63" s="1"/>
      <c r="W63" s="1"/>
      <c r="X63" s="1"/>
    </row>
    <row r="64" spans="1:24" x14ac:dyDescent="0.25">
      <c r="A64" s="46">
        <v>55</v>
      </c>
      <c r="B64" s="59"/>
      <c r="C64" s="79">
        <v>30</v>
      </c>
      <c r="D64" s="60" t="str">
        <f>LOOKUP(C64,AJUSTE!B:B,AJUSTE!C:C)</f>
        <v>Nenhuma definida</v>
      </c>
      <c r="E64" s="81"/>
      <c r="F64" s="88"/>
      <c r="G64" s="88"/>
      <c r="H64" s="89"/>
      <c r="I64" s="90"/>
      <c r="J64" s="61">
        <f t="shared" si="0"/>
        <v>0</v>
      </c>
      <c r="K64" s="60" t="str">
        <f t="shared" si="1"/>
        <v/>
      </c>
      <c r="L64" s="60" t="str">
        <f>IF(J64,LOOKUP(C64,AJUSTE!B:B,AJUSTE!E:E),"")</f>
        <v/>
      </c>
      <c r="M64" s="62" t="str">
        <f>IF(J64,LOOKUP(C64,AJUSTE!B:B,AJUSTE!D:D),"")</f>
        <v/>
      </c>
      <c r="O64" s="1" t="str">
        <f t="shared" si="2"/>
        <v/>
      </c>
      <c r="P64" s="1" t="str">
        <f t="shared" si="3"/>
        <v xml:space="preserve">NULL </v>
      </c>
      <c r="Q64" s="1" t="str">
        <f t="shared" si="4"/>
        <v/>
      </c>
      <c r="R64" s="1" t="str">
        <f t="shared" si="5"/>
        <v/>
      </c>
      <c r="S64" s="1" t="str">
        <f t="shared" si="6"/>
        <v/>
      </c>
      <c r="T64" s="1"/>
      <c r="U64" s="1"/>
      <c r="V64" s="1"/>
      <c r="W64" s="1"/>
      <c r="X64" s="1"/>
    </row>
    <row r="65" spans="1:24" x14ac:dyDescent="0.25">
      <c r="A65" s="46">
        <v>56</v>
      </c>
      <c r="B65" s="59"/>
      <c r="C65" s="79">
        <v>30</v>
      </c>
      <c r="D65" s="60" t="str">
        <f>LOOKUP(C65,AJUSTE!B:B,AJUSTE!C:C)</f>
        <v>Nenhuma definida</v>
      </c>
      <c r="E65" s="81"/>
      <c r="F65" s="88"/>
      <c r="G65" s="88"/>
      <c r="H65" s="89"/>
      <c r="I65" s="90"/>
      <c r="J65" s="61">
        <f t="shared" si="0"/>
        <v>0</v>
      </c>
      <c r="K65" s="60" t="str">
        <f t="shared" si="1"/>
        <v/>
      </c>
      <c r="L65" s="60" t="str">
        <f>IF(J65,LOOKUP(C65,AJUSTE!B:B,AJUSTE!E:E),"")</f>
        <v/>
      </c>
      <c r="M65" s="62" t="str">
        <f>IF(J65,LOOKUP(C65,AJUSTE!B:B,AJUSTE!D:D),"")</f>
        <v/>
      </c>
      <c r="O65" s="1" t="str">
        <f t="shared" si="2"/>
        <v/>
      </c>
      <c r="P65" s="1" t="str">
        <f t="shared" si="3"/>
        <v xml:space="preserve">NULL </v>
      </c>
      <c r="Q65" s="1" t="str">
        <f t="shared" si="4"/>
        <v/>
      </c>
      <c r="R65" s="1" t="str">
        <f t="shared" si="5"/>
        <v/>
      </c>
      <c r="S65" s="1" t="str">
        <f t="shared" si="6"/>
        <v/>
      </c>
      <c r="T65" s="1"/>
      <c r="U65" s="1"/>
      <c r="V65" s="1"/>
      <c r="W65" s="1"/>
      <c r="X65" s="1"/>
    </row>
    <row r="66" spans="1:24" x14ac:dyDescent="0.25">
      <c r="A66" s="46">
        <v>57</v>
      </c>
      <c r="B66" s="59"/>
      <c r="C66" s="79">
        <v>30</v>
      </c>
      <c r="D66" s="60" t="str">
        <f>LOOKUP(C66,AJUSTE!B:B,AJUSTE!C:C)</f>
        <v>Nenhuma definida</v>
      </c>
      <c r="E66" s="81"/>
      <c r="F66" s="88"/>
      <c r="G66" s="88"/>
      <c r="H66" s="89"/>
      <c r="I66" s="90"/>
      <c r="J66" s="61">
        <f t="shared" si="0"/>
        <v>0</v>
      </c>
      <c r="K66" s="60" t="str">
        <f t="shared" si="1"/>
        <v/>
      </c>
      <c r="L66" s="60" t="str">
        <f>IF(J66,LOOKUP(C66,AJUSTE!B:B,AJUSTE!E:E),"")</f>
        <v/>
      </c>
      <c r="M66" s="62" t="str">
        <f>IF(J66,LOOKUP(C66,AJUSTE!B:B,AJUSTE!D:D),"")</f>
        <v/>
      </c>
      <c r="O66" s="1" t="str">
        <f t="shared" si="2"/>
        <v/>
      </c>
      <c r="P66" s="1" t="str">
        <f t="shared" si="3"/>
        <v xml:space="preserve">NULL </v>
      </c>
      <c r="Q66" s="1" t="str">
        <f t="shared" si="4"/>
        <v/>
      </c>
      <c r="R66" s="1" t="str">
        <f t="shared" si="5"/>
        <v/>
      </c>
      <c r="S66" s="1" t="str">
        <f t="shared" si="6"/>
        <v/>
      </c>
      <c r="T66" s="1"/>
      <c r="U66" s="1"/>
      <c r="V66" s="1"/>
      <c r="W66" s="1"/>
      <c r="X66" s="1"/>
    </row>
    <row r="67" spans="1:24" x14ac:dyDescent="0.25">
      <c r="A67" s="46">
        <v>58</v>
      </c>
      <c r="B67" s="59"/>
      <c r="C67" s="79">
        <v>30</v>
      </c>
      <c r="D67" s="60" t="str">
        <f>LOOKUP(C67,AJUSTE!B:B,AJUSTE!C:C)</f>
        <v>Nenhuma definida</v>
      </c>
      <c r="E67" s="81"/>
      <c r="F67" s="88"/>
      <c r="G67" s="88"/>
      <c r="H67" s="89"/>
      <c r="I67" s="90"/>
      <c r="J67" s="61">
        <f t="shared" si="0"/>
        <v>0</v>
      </c>
      <c r="K67" s="60" t="str">
        <f t="shared" si="1"/>
        <v/>
      </c>
      <c r="L67" s="60" t="str">
        <f>IF(J67,LOOKUP(C67,AJUSTE!B:B,AJUSTE!E:E),"")</f>
        <v/>
      </c>
      <c r="M67" s="62" t="str">
        <f>IF(J67,LOOKUP(C67,AJUSTE!B:B,AJUSTE!D:D),"")</f>
        <v/>
      </c>
      <c r="O67" s="1" t="str">
        <f t="shared" si="2"/>
        <v/>
      </c>
      <c r="P67" s="1" t="str">
        <f t="shared" si="3"/>
        <v xml:space="preserve">NULL </v>
      </c>
      <c r="Q67" s="1" t="str">
        <f t="shared" si="4"/>
        <v/>
      </c>
      <c r="R67" s="1" t="str">
        <f t="shared" si="5"/>
        <v/>
      </c>
      <c r="S67" s="1" t="str">
        <f t="shared" si="6"/>
        <v/>
      </c>
      <c r="T67" s="1"/>
      <c r="U67" s="1"/>
      <c r="V67" s="1"/>
      <c r="W67" s="1"/>
      <c r="X67" s="1"/>
    </row>
    <row r="68" spans="1:24" x14ac:dyDescent="0.25">
      <c r="A68" s="46">
        <v>59</v>
      </c>
      <c r="B68" s="59"/>
      <c r="C68" s="79">
        <v>30</v>
      </c>
      <c r="D68" s="60" t="str">
        <f>LOOKUP(C68,AJUSTE!B:B,AJUSTE!C:C)</f>
        <v>Nenhuma definida</v>
      </c>
      <c r="E68" s="81"/>
      <c r="F68" s="88"/>
      <c r="G68" s="88"/>
      <c r="H68" s="89"/>
      <c r="I68" s="90"/>
      <c r="J68" s="61">
        <f t="shared" si="0"/>
        <v>0</v>
      </c>
      <c r="K68" s="60" t="str">
        <f t="shared" si="1"/>
        <v/>
      </c>
      <c r="L68" s="60" t="str">
        <f>IF(J68,LOOKUP(C68,AJUSTE!B:B,AJUSTE!E:E),"")</f>
        <v/>
      </c>
      <c r="M68" s="62" t="str">
        <f>IF(J68,LOOKUP(C68,AJUSTE!B:B,AJUSTE!D:D),"")</f>
        <v/>
      </c>
      <c r="O68" s="1" t="str">
        <f t="shared" si="2"/>
        <v/>
      </c>
      <c r="P68" s="1" t="str">
        <f t="shared" si="3"/>
        <v xml:space="preserve">NULL </v>
      </c>
      <c r="Q68" s="1" t="str">
        <f t="shared" si="4"/>
        <v/>
      </c>
      <c r="R68" s="1" t="str">
        <f t="shared" si="5"/>
        <v/>
      </c>
      <c r="S68" s="1" t="str">
        <f t="shared" si="6"/>
        <v/>
      </c>
      <c r="T68" s="1"/>
      <c r="U68" s="1"/>
      <c r="V68" s="1"/>
      <c r="W68" s="1"/>
      <c r="X68" s="1"/>
    </row>
    <row r="69" spans="1:24" x14ac:dyDescent="0.25">
      <c r="A69" s="46">
        <v>60</v>
      </c>
      <c r="B69" s="59"/>
      <c r="C69" s="79">
        <v>30</v>
      </c>
      <c r="D69" s="60" t="str">
        <f>LOOKUP(C69,AJUSTE!B:B,AJUSTE!C:C)</f>
        <v>Nenhuma definida</v>
      </c>
      <c r="E69" s="81"/>
      <c r="F69" s="88"/>
      <c r="G69" s="88"/>
      <c r="H69" s="89"/>
      <c r="I69" s="90"/>
      <c r="J69" s="61">
        <f t="shared" si="0"/>
        <v>0</v>
      </c>
      <c r="K69" s="60" t="str">
        <f t="shared" si="1"/>
        <v/>
      </c>
      <c r="L69" s="60" t="str">
        <f>IF(J69,LOOKUP(C69,AJUSTE!B:B,AJUSTE!E:E),"")</f>
        <v/>
      </c>
      <c r="M69" s="62" t="str">
        <f>IF(J69,LOOKUP(C69,AJUSTE!B:B,AJUSTE!D:D),"")</f>
        <v/>
      </c>
      <c r="O69" s="1" t="str">
        <f t="shared" si="2"/>
        <v/>
      </c>
      <c r="P69" s="1" t="str">
        <f t="shared" si="3"/>
        <v xml:space="preserve">NULL </v>
      </c>
      <c r="Q69" s="1" t="str">
        <f t="shared" si="4"/>
        <v/>
      </c>
      <c r="R69" s="1" t="str">
        <f t="shared" si="5"/>
        <v/>
      </c>
      <c r="S69" s="1" t="str">
        <f t="shared" si="6"/>
        <v/>
      </c>
      <c r="T69" s="1"/>
      <c r="U69" s="1"/>
      <c r="V69" s="1"/>
      <c r="W69" s="1"/>
      <c r="X69" s="1"/>
    </row>
    <row r="70" spans="1:24" x14ac:dyDescent="0.25">
      <c r="A70" s="46">
        <v>61</v>
      </c>
      <c r="B70" s="59"/>
      <c r="C70" s="79">
        <v>30</v>
      </c>
      <c r="D70" s="60" t="str">
        <f>LOOKUP(C70,AJUSTE!B:B,AJUSTE!C:C)</f>
        <v>Nenhuma definida</v>
      </c>
      <c r="E70" s="81"/>
      <c r="F70" s="88"/>
      <c r="G70" s="88"/>
      <c r="H70" s="89"/>
      <c r="I70" s="90"/>
      <c r="J70" s="61">
        <f t="shared" si="0"/>
        <v>0</v>
      </c>
      <c r="K70" s="60" t="str">
        <f t="shared" si="1"/>
        <v/>
      </c>
      <c r="L70" s="60" t="str">
        <f>IF(J70,LOOKUP(C70,AJUSTE!B:B,AJUSTE!E:E),"")</f>
        <v/>
      </c>
      <c r="M70" s="62" t="str">
        <f>IF(J70,LOOKUP(C70,AJUSTE!B:B,AJUSTE!D:D),"")</f>
        <v/>
      </c>
      <c r="O70" s="1" t="str">
        <f t="shared" si="2"/>
        <v/>
      </c>
      <c r="P70" s="1" t="str">
        <f t="shared" si="3"/>
        <v xml:space="preserve">NULL </v>
      </c>
      <c r="Q70" s="1" t="str">
        <f t="shared" si="4"/>
        <v/>
      </c>
      <c r="R70" s="1" t="str">
        <f t="shared" si="5"/>
        <v/>
      </c>
      <c r="S70" s="1" t="str">
        <f t="shared" si="6"/>
        <v/>
      </c>
      <c r="T70" s="1"/>
      <c r="U70" s="1"/>
      <c r="V70" s="1"/>
      <c r="W70" s="1"/>
      <c r="X70" s="1"/>
    </row>
    <row r="71" spans="1:24" x14ac:dyDescent="0.25">
      <c r="A71" s="46">
        <v>62</v>
      </c>
      <c r="B71" s="59"/>
      <c r="C71" s="79">
        <v>30</v>
      </c>
      <c r="D71" s="60" t="str">
        <f>LOOKUP(C71,AJUSTE!B:B,AJUSTE!C:C)</f>
        <v>Nenhuma definida</v>
      </c>
      <c r="E71" s="81"/>
      <c r="F71" s="88"/>
      <c r="G71" s="88"/>
      <c r="H71" s="89"/>
      <c r="I71" s="90"/>
      <c r="J71" s="61">
        <f t="shared" si="0"/>
        <v>0</v>
      </c>
      <c r="K71" s="60" t="str">
        <f t="shared" si="1"/>
        <v/>
      </c>
      <c r="L71" s="60" t="str">
        <f>IF(J71,LOOKUP(C71,AJUSTE!B:B,AJUSTE!E:E),"")</f>
        <v/>
      </c>
      <c r="M71" s="62" t="str">
        <f>IF(J71,LOOKUP(C71,AJUSTE!B:B,AJUSTE!D:D),"")</f>
        <v/>
      </c>
      <c r="O71" s="1" t="str">
        <f t="shared" si="2"/>
        <v/>
      </c>
      <c r="P71" s="1" t="str">
        <f t="shared" si="3"/>
        <v xml:space="preserve">NULL </v>
      </c>
      <c r="Q71" s="1" t="str">
        <f t="shared" si="4"/>
        <v/>
      </c>
      <c r="R71" s="1" t="str">
        <f t="shared" si="5"/>
        <v/>
      </c>
      <c r="S71" s="1" t="str">
        <f t="shared" si="6"/>
        <v/>
      </c>
      <c r="T71" s="1"/>
      <c r="U71" s="1"/>
      <c r="V71" s="1"/>
      <c r="W71" s="1"/>
      <c r="X71" s="1"/>
    </row>
    <row r="72" spans="1:24" x14ac:dyDescent="0.25">
      <c r="A72" s="46">
        <v>63</v>
      </c>
      <c r="B72" s="59"/>
      <c r="C72" s="79">
        <v>30</v>
      </c>
      <c r="D72" s="60" t="str">
        <f>LOOKUP(C72,AJUSTE!B:B,AJUSTE!C:C)</f>
        <v>Nenhuma definida</v>
      </c>
      <c r="E72" s="81"/>
      <c r="F72" s="88"/>
      <c r="G72" s="88"/>
      <c r="H72" s="89"/>
      <c r="I72" s="90"/>
      <c r="J72" s="61">
        <f t="shared" si="0"/>
        <v>0</v>
      </c>
      <c r="K72" s="60" t="str">
        <f t="shared" si="1"/>
        <v/>
      </c>
      <c r="L72" s="60" t="str">
        <f>IF(J72,LOOKUP(C72,AJUSTE!B:B,AJUSTE!E:E),"")</f>
        <v/>
      </c>
      <c r="M72" s="62" t="str">
        <f>IF(J72,LOOKUP(C72,AJUSTE!B:B,AJUSTE!D:D),"")</f>
        <v/>
      </c>
      <c r="O72" s="1" t="str">
        <f t="shared" si="2"/>
        <v/>
      </c>
      <c r="P72" s="1" t="str">
        <f t="shared" si="3"/>
        <v xml:space="preserve">NULL </v>
      </c>
      <c r="Q72" s="1" t="str">
        <f t="shared" si="4"/>
        <v/>
      </c>
      <c r="R72" s="1" t="str">
        <f t="shared" si="5"/>
        <v/>
      </c>
      <c r="S72" s="1" t="str">
        <f t="shared" si="6"/>
        <v/>
      </c>
      <c r="T72" s="1"/>
      <c r="U72" s="1"/>
      <c r="V72" s="1"/>
      <c r="W72" s="1"/>
      <c r="X72" s="1"/>
    </row>
    <row r="73" spans="1:24" x14ac:dyDescent="0.25">
      <c r="A73" s="46">
        <v>64</v>
      </c>
      <c r="B73" s="59"/>
      <c r="C73" s="79">
        <v>30</v>
      </c>
      <c r="D73" s="60" t="str">
        <f>LOOKUP(C73,AJUSTE!B:B,AJUSTE!C:C)</f>
        <v>Nenhuma definida</v>
      </c>
      <c r="E73" s="81"/>
      <c r="F73" s="88"/>
      <c r="G73" s="88"/>
      <c r="H73" s="89"/>
      <c r="I73" s="90"/>
      <c r="J73" s="61">
        <f t="shared" si="0"/>
        <v>0</v>
      </c>
      <c r="K73" s="60" t="str">
        <f t="shared" si="1"/>
        <v/>
      </c>
      <c r="L73" s="60" t="str">
        <f>IF(J73,LOOKUP(C73,AJUSTE!B:B,AJUSTE!E:E),"")</f>
        <v/>
      </c>
      <c r="M73" s="62" t="str">
        <f>IF(J73,LOOKUP(C73,AJUSTE!B:B,AJUSTE!D:D),"")</f>
        <v/>
      </c>
      <c r="O73" s="1" t="str">
        <f t="shared" si="2"/>
        <v/>
      </c>
      <c r="P73" s="1" t="str">
        <f t="shared" si="3"/>
        <v xml:space="preserve">NULL </v>
      </c>
      <c r="Q73" s="1" t="str">
        <f t="shared" si="4"/>
        <v/>
      </c>
      <c r="R73" s="1" t="str">
        <f t="shared" si="5"/>
        <v/>
      </c>
      <c r="S73" s="1" t="str">
        <f t="shared" si="6"/>
        <v/>
      </c>
      <c r="T73" s="1"/>
      <c r="U73" s="1"/>
      <c r="V73" s="1"/>
      <c r="W73" s="1"/>
      <c r="X73" s="1"/>
    </row>
    <row r="74" spans="1:24" x14ac:dyDescent="0.25">
      <c r="A74" s="46">
        <v>65</v>
      </c>
      <c r="B74" s="59"/>
      <c r="C74" s="79">
        <v>30</v>
      </c>
      <c r="D74" s="60" t="str">
        <f>LOOKUP(C74,AJUSTE!B:B,AJUSTE!C:C)</f>
        <v>Nenhuma definida</v>
      </c>
      <c r="E74" s="81"/>
      <c r="F74" s="88"/>
      <c r="G74" s="88"/>
      <c r="H74" s="89"/>
      <c r="I74" s="90"/>
      <c r="J74" s="61">
        <f t="shared" si="0"/>
        <v>0</v>
      </c>
      <c r="K74" s="60" t="str">
        <f t="shared" si="1"/>
        <v/>
      </c>
      <c r="L74" s="60" t="str">
        <f>IF(J74,LOOKUP(C74,AJUSTE!B:B,AJUSTE!E:E),"")</f>
        <v/>
      </c>
      <c r="M74" s="62" t="str">
        <f>IF(J74,LOOKUP(C74,AJUSTE!B:B,AJUSTE!D:D),"")</f>
        <v/>
      </c>
      <c r="O74" s="1" t="str">
        <f t="shared" si="2"/>
        <v/>
      </c>
      <c r="P74" s="1" t="str">
        <f t="shared" si="3"/>
        <v xml:space="preserve">NULL </v>
      </c>
      <c r="Q74" s="1" t="str">
        <f t="shared" si="4"/>
        <v/>
      </c>
      <c r="R74" s="1" t="str">
        <f t="shared" si="5"/>
        <v/>
      </c>
      <c r="S74" s="1" t="str">
        <f t="shared" si="6"/>
        <v/>
      </c>
      <c r="T74" s="1"/>
      <c r="U74" s="1"/>
      <c r="V74" s="1"/>
      <c r="W74" s="1"/>
      <c r="X74" s="1"/>
    </row>
    <row r="75" spans="1:24" x14ac:dyDescent="0.25">
      <c r="A75" s="46">
        <v>66</v>
      </c>
      <c r="B75" s="59"/>
      <c r="C75" s="79">
        <v>30</v>
      </c>
      <c r="D75" s="60" t="str">
        <f>LOOKUP(C75,AJUSTE!B:B,AJUSTE!C:C)</f>
        <v>Nenhuma definida</v>
      </c>
      <c r="E75" s="81"/>
      <c r="F75" s="88"/>
      <c r="G75" s="88"/>
      <c r="H75" s="89"/>
      <c r="I75" s="90"/>
      <c r="J75" s="61">
        <f t="shared" ref="J75:J109" si="7">IF(ISBLANK(B75),0,1)</f>
        <v>0</v>
      </c>
      <c r="K75" s="60" t="str">
        <f t="shared" ref="K75:K109" si="8">IF(ISBLANK(B75),"",CONCATENATE(D$4,B75))</f>
        <v/>
      </c>
      <c r="L75" s="60" t="str">
        <f>IF(J75,LOOKUP(C75,AJUSTE!B:B,AJUSTE!E:E),"")</f>
        <v/>
      </c>
      <c r="M75" s="62" t="str">
        <f>IF(J75,LOOKUP(C75,AJUSTE!B:B,AJUSTE!D:D),"")</f>
        <v/>
      </c>
      <c r="O75" s="1" t="str">
        <f t="shared" ref="O75:O109" si="9">IF(F75,CONCATENATE("(",F75,")"),"")</f>
        <v/>
      </c>
      <c r="P75" s="1" t="str">
        <f t="shared" ref="P75:P105" si="10">IF(I75,"NOT NULL ","NULL ")</f>
        <v xml:space="preserve">NULL </v>
      </c>
      <c r="Q75" s="1" t="str">
        <f t="shared" ref="Q75:Q109" si="11">IF(H75,"AUTO_INCREMENT","")</f>
        <v/>
      </c>
      <c r="R75" s="1" t="str">
        <f t="shared" ref="R75:R109" si="12">IF(ISBLANK(G75),"",CONCATENATE(" DEFAULT ",G75))</f>
        <v/>
      </c>
      <c r="S75" s="1" t="str">
        <f t="shared" ref="S75:S109" si="13">IF(J75,CONCATENATE("`",K75,"` ",M75,O75," ",P75,Q75,R75,","),"")</f>
        <v/>
      </c>
      <c r="T75" s="1"/>
      <c r="U75" s="1"/>
      <c r="V75" s="1"/>
      <c r="W75" s="1"/>
      <c r="X75" s="1"/>
    </row>
    <row r="76" spans="1:24" x14ac:dyDescent="0.25">
      <c r="A76" s="46">
        <v>67</v>
      </c>
      <c r="B76" s="59"/>
      <c r="C76" s="79">
        <v>30</v>
      </c>
      <c r="D76" s="60" t="str">
        <f>LOOKUP(C76,AJUSTE!B:B,AJUSTE!C:C)</f>
        <v>Nenhuma definida</v>
      </c>
      <c r="E76" s="81"/>
      <c r="F76" s="88"/>
      <c r="G76" s="88"/>
      <c r="H76" s="89"/>
      <c r="I76" s="90"/>
      <c r="J76" s="61">
        <f t="shared" si="7"/>
        <v>0</v>
      </c>
      <c r="K76" s="60" t="str">
        <f t="shared" si="8"/>
        <v/>
      </c>
      <c r="L76" s="60" t="str">
        <f>IF(J76,LOOKUP(C76,AJUSTE!B:B,AJUSTE!E:E),"")</f>
        <v/>
      </c>
      <c r="M76" s="62" t="str">
        <f>IF(J76,LOOKUP(C76,AJUSTE!B:B,AJUSTE!D:D),"")</f>
        <v/>
      </c>
      <c r="O76" s="1" t="str">
        <f t="shared" si="9"/>
        <v/>
      </c>
      <c r="P76" s="1" t="str">
        <f t="shared" si="10"/>
        <v xml:space="preserve">NULL </v>
      </c>
      <c r="Q76" s="1" t="str">
        <f t="shared" si="11"/>
        <v/>
      </c>
      <c r="R76" s="1" t="str">
        <f t="shared" si="12"/>
        <v/>
      </c>
      <c r="S76" s="1" t="str">
        <f t="shared" si="13"/>
        <v/>
      </c>
      <c r="T76" s="1"/>
      <c r="U76" s="1"/>
      <c r="V76" s="1"/>
      <c r="W76" s="1"/>
      <c r="X76" s="1"/>
    </row>
    <row r="77" spans="1:24" x14ac:dyDescent="0.25">
      <c r="A77" s="46">
        <v>68</v>
      </c>
      <c r="B77" s="59"/>
      <c r="C77" s="79">
        <v>30</v>
      </c>
      <c r="D77" s="60" t="str">
        <f>LOOKUP(C77,AJUSTE!B:B,AJUSTE!C:C)</f>
        <v>Nenhuma definida</v>
      </c>
      <c r="E77" s="81"/>
      <c r="F77" s="88"/>
      <c r="G77" s="88"/>
      <c r="H77" s="89"/>
      <c r="I77" s="90"/>
      <c r="J77" s="61">
        <f t="shared" si="7"/>
        <v>0</v>
      </c>
      <c r="K77" s="60" t="str">
        <f t="shared" si="8"/>
        <v/>
      </c>
      <c r="L77" s="60" t="str">
        <f>IF(J77,LOOKUP(C77,AJUSTE!B:B,AJUSTE!E:E),"")</f>
        <v/>
      </c>
      <c r="M77" s="62" t="str">
        <f>IF(J77,LOOKUP(C77,AJUSTE!B:B,AJUSTE!D:D),"")</f>
        <v/>
      </c>
      <c r="O77" s="1" t="str">
        <f t="shared" si="9"/>
        <v/>
      </c>
      <c r="P77" s="1" t="str">
        <f t="shared" si="10"/>
        <v xml:space="preserve">NULL </v>
      </c>
      <c r="Q77" s="1" t="str">
        <f t="shared" si="11"/>
        <v/>
      </c>
      <c r="R77" s="1" t="str">
        <f t="shared" si="12"/>
        <v/>
      </c>
      <c r="S77" s="1" t="str">
        <f t="shared" si="13"/>
        <v/>
      </c>
      <c r="T77" s="1"/>
      <c r="U77" s="1"/>
      <c r="V77" s="1"/>
      <c r="W77" s="1"/>
      <c r="X77" s="1"/>
    </row>
    <row r="78" spans="1:24" x14ac:dyDescent="0.25">
      <c r="A78" s="46">
        <v>69</v>
      </c>
      <c r="B78" s="59"/>
      <c r="C78" s="79">
        <v>30</v>
      </c>
      <c r="D78" s="60" t="str">
        <f>LOOKUP(C78,AJUSTE!B:B,AJUSTE!C:C)</f>
        <v>Nenhuma definida</v>
      </c>
      <c r="E78" s="81"/>
      <c r="F78" s="88"/>
      <c r="G78" s="88"/>
      <c r="H78" s="89"/>
      <c r="I78" s="90"/>
      <c r="J78" s="61">
        <f t="shared" si="7"/>
        <v>0</v>
      </c>
      <c r="K78" s="60" t="str">
        <f t="shared" si="8"/>
        <v/>
      </c>
      <c r="L78" s="60" t="str">
        <f>IF(J78,LOOKUP(C78,AJUSTE!B:B,AJUSTE!E:E),"")</f>
        <v/>
      </c>
      <c r="M78" s="62" t="str">
        <f>IF(J78,LOOKUP(C78,AJUSTE!B:B,AJUSTE!D:D),"")</f>
        <v/>
      </c>
      <c r="O78" s="1" t="str">
        <f t="shared" si="9"/>
        <v/>
      </c>
      <c r="P78" s="1" t="str">
        <f t="shared" si="10"/>
        <v xml:space="preserve">NULL </v>
      </c>
      <c r="Q78" s="1" t="str">
        <f t="shared" si="11"/>
        <v/>
      </c>
      <c r="R78" s="1" t="str">
        <f t="shared" si="12"/>
        <v/>
      </c>
      <c r="S78" s="1" t="str">
        <f t="shared" si="13"/>
        <v/>
      </c>
      <c r="T78" s="1"/>
      <c r="U78" s="1"/>
      <c r="V78" s="1"/>
      <c r="W78" s="1"/>
      <c r="X78" s="1"/>
    </row>
    <row r="79" spans="1:24" x14ac:dyDescent="0.25">
      <c r="A79" s="46">
        <v>70</v>
      </c>
      <c r="B79" s="59"/>
      <c r="C79" s="79">
        <v>30</v>
      </c>
      <c r="D79" s="60" t="str">
        <f>LOOKUP(C79,AJUSTE!B:B,AJUSTE!C:C)</f>
        <v>Nenhuma definida</v>
      </c>
      <c r="E79" s="81"/>
      <c r="F79" s="88"/>
      <c r="G79" s="88"/>
      <c r="H79" s="89"/>
      <c r="I79" s="90"/>
      <c r="J79" s="61">
        <f t="shared" si="7"/>
        <v>0</v>
      </c>
      <c r="K79" s="60" t="str">
        <f t="shared" si="8"/>
        <v/>
      </c>
      <c r="L79" s="60" t="str">
        <f>IF(J79,LOOKUP(C79,AJUSTE!B:B,AJUSTE!E:E),"")</f>
        <v/>
      </c>
      <c r="M79" s="62" t="str">
        <f>IF(J79,LOOKUP(C79,AJUSTE!B:B,AJUSTE!D:D),"")</f>
        <v/>
      </c>
      <c r="O79" s="1" t="str">
        <f t="shared" si="9"/>
        <v/>
      </c>
      <c r="P79" s="1" t="str">
        <f t="shared" si="10"/>
        <v xml:space="preserve">NULL </v>
      </c>
      <c r="Q79" s="1" t="str">
        <f t="shared" si="11"/>
        <v/>
      </c>
      <c r="R79" s="1" t="str">
        <f t="shared" si="12"/>
        <v/>
      </c>
      <c r="S79" s="1" t="str">
        <f t="shared" si="13"/>
        <v/>
      </c>
      <c r="T79" s="1"/>
      <c r="U79" s="1"/>
      <c r="V79" s="1"/>
      <c r="W79" s="1"/>
      <c r="X79" s="1"/>
    </row>
    <row r="80" spans="1:24" x14ac:dyDescent="0.25">
      <c r="A80" s="46">
        <v>71</v>
      </c>
      <c r="B80" s="59"/>
      <c r="C80" s="79">
        <v>30</v>
      </c>
      <c r="D80" s="60" t="str">
        <f>LOOKUP(C80,AJUSTE!B:B,AJUSTE!C:C)</f>
        <v>Nenhuma definida</v>
      </c>
      <c r="E80" s="81"/>
      <c r="F80" s="88"/>
      <c r="G80" s="88"/>
      <c r="H80" s="89"/>
      <c r="I80" s="90"/>
      <c r="J80" s="61">
        <f t="shared" si="7"/>
        <v>0</v>
      </c>
      <c r="K80" s="60" t="str">
        <f t="shared" si="8"/>
        <v/>
      </c>
      <c r="L80" s="60" t="str">
        <f>IF(J80,LOOKUP(C80,AJUSTE!B:B,AJUSTE!E:E),"")</f>
        <v/>
      </c>
      <c r="M80" s="62" t="str">
        <f>IF(J80,LOOKUP(C80,AJUSTE!B:B,AJUSTE!D:D),"")</f>
        <v/>
      </c>
      <c r="O80" s="1" t="str">
        <f t="shared" si="9"/>
        <v/>
      </c>
      <c r="P80" s="1" t="str">
        <f t="shared" si="10"/>
        <v xml:space="preserve">NULL </v>
      </c>
      <c r="Q80" s="1" t="str">
        <f t="shared" si="11"/>
        <v/>
      </c>
      <c r="R80" s="1" t="str">
        <f t="shared" si="12"/>
        <v/>
      </c>
      <c r="S80" s="1" t="str">
        <f t="shared" si="13"/>
        <v/>
      </c>
      <c r="T80" s="1"/>
      <c r="U80" s="1"/>
      <c r="V80" s="1"/>
      <c r="W80" s="1"/>
      <c r="X80" s="1"/>
    </row>
    <row r="81" spans="1:24" x14ac:dyDescent="0.25">
      <c r="A81" s="46">
        <v>72</v>
      </c>
      <c r="B81" s="59"/>
      <c r="C81" s="79">
        <v>30</v>
      </c>
      <c r="D81" s="60" t="str">
        <f>LOOKUP(C81,AJUSTE!B:B,AJUSTE!C:C)</f>
        <v>Nenhuma definida</v>
      </c>
      <c r="E81" s="81"/>
      <c r="F81" s="88"/>
      <c r="G81" s="88"/>
      <c r="H81" s="89"/>
      <c r="I81" s="90"/>
      <c r="J81" s="61">
        <f t="shared" si="7"/>
        <v>0</v>
      </c>
      <c r="K81" s="60" t="str">
        <f t="shared" si="8"/>
        <v/>
      </c>
      <c r="L81" s="60" t="str">
        <f>IF(J81,LOOKUP(C81,AJUSTE!B:B,AJUSTE!E:E),"")</f>
        <v/>
      </c>
      <c r="M81" s="62" t="str">
        <f>IF(J81,LOOKUP(C81,AJUSTE!B:B,AJUSTE!D:D),"")</f>
        <v/>
      </c>
      <c r="O81" s="1" t="str">
        <f t="shared" si="9"/>
        <v/>
      </c>
      <c r="P81" s="1" t="str">
        <f t="shared" si="10"/>
        <v xml:space="preserve">NULL </v>
      </c>
      <c r="Q81" s="1" t="str">
        <f t="shared" si="11"/>
        <v/>
      </c>
      <c r="R81" s="1" t="str">
        <f t="shared" si="12"/>
        <v/>
      </c>
      <c r="S81" s="1" t="str">
        <f t="shared" si="13"/>
        <v/>
      </c>
      <c r="T81" s="1"/>
      <c r="U81" s="1"/>
      <c r="V81" s="1"/>
      <c r="W81" s="1"/>
      <c r="X81" s="1"/>
    </row>
    <row r="82" spans="1:24" x14ac:dyDescent="0.25">
      <c r="A82" s="46">
        <v>73</v>
      </c>
      <c r="B82" s="59"/>
      <c r="C82" s="79">
        <v>30</v>
      </c>
      <c r="D82" s="60" t="str">
        <f>LOOKUP(C82,AJUSTE!B:B,AJUSTE!C:C)</f>
        <v>Nenhuma definida</v>
      </c>
      <c r="E82" s="81"/>
      <c r="F82" s="88"/>
      <c r="G82" s="88"/>
      <c r="H82" s="89"/>
      <c r="I82" s="90"/>
      <c r="J82" s="61">
        <f t="shared" si="7"/>
        <v>0</v>
      </c>
      <c r="K82" s="60" t="str">
        <f t="shared" si="8"/>
        <v/>
      </c>
      <c r="L82" s="60" t="str">
        <f>IF(J82,LOOKUP(C82,AJUSTE!B:B,AJUSTE!E:E),"")</f>
        <v/>
      </c>
      <c r="M82" s="62" t="str">
        <f>IF(J82,LOOKUP(C82,AJUSTE!B:B,AJUSTE!D:D),"")</f>
        <v/>
      </c>
      <c r="O82" s="1" t="str">
        <f t="shared" si="9"/>
        <v/>
      </c>
      <c r="P82" s="1" t="str">
        <f t="shared" si="10"/>
        <v xml:space="preserve">NULL </v>
      </c>
      <c r="Q82" s="1" t="str">
        <f t="shared" si="11"/>
        <v/>
      </c>
      <c r="R82" s="1" t="str">
        <f t="shared" si="12"/>
        <v/>
      </c>
      <c r="S82" s="1" t="str">
        <f t="shared" si="13"/>
        <v/>
      </c>
      <c r="T82" s="1"/>
      <c r="U82" s="1"/>
      <c r="V82" s="1"/>
      <c r="W82" s="1"/>
      <c r="X82" s="1"/>
    </row>
    <row r="83" spans="1:24" x14ac:dyDescent="0.25">
      <c r="A83" s="46">
        <v>74</v>
      </c>
      <c r="B83" s="59"/>
      <c r="C83" s="79">
        <v>30</v>
      </c>
      <c r="D83" s="60" t="str">
        <f>LOOKUP(C83,AJUSTE!B:B,AJUSTE!C:C)</f>
        <v>Nenhuma definida</v>
      </c>
      <c r="E83" s="81"/>
      <c r="F83" s="88"/>
      <c r="G83" s="88"/>
      <c r="H83" s="89"/>
      <c r="I83" s="90"/>
      <c r="J83" s="61">
        <f t="shared" si="7"/>
        <v>0</v>
      </c>
      <c r="K83" s="60" t="str">
        <f t="shared" si="8"/>
        <v/>
      </c>
      <c r="L83" s="60" t="str">
        <f>IF(J83,LOOKUP(C83,AJUSTE!B:B,AJUSTE!E:E),"")</f>
        <v/>
      </c>
      <c r="M83" s="62" t="str">
        <f>IF(J83,LOOKUP(C83,AJUSTE!B:B,AJUSTE!D:D),"")</f>
        <v/>
      </c>
      <c r="O83" s="1" t="str">
        <f t="shared" si="9"/>
        <v/>
      </c>
      <c r="P83" s="1" t="str">
        <f t="shared" si="10"/>
        <v xml:space="preserve">NULL </v>
      </c>
      <c r="Q83" s="1" t="str">
        <f t="shared" si="11"/>
        <v/>
      </c>
      <c r="R83" s="1" t="str">
        <f t="shared" si="12"/>
        <v/>
      </c>
      <c r="S83" s="1" t="str">
        <f t="shared" si="13"/>
        <v/>
      </c>
      <c r="T83" s="1"/>
      <c r="U83" s="1"/>
      <c r="V83" s="1"/>
      <c r="W83" s="1"/>
      <c r="X83" s="1"/>
    </row>
    <row r="84" spans="1:24" x14ac:dyDescent="0.25">
      <c r="A84" s="46">
        <v>75</v>
      </c>
      <c r="B84" s="59"/>
      <c r="C84" s="79">
        <v>30</v>
      </c>
      <c r="D84" s="60" t="str">
        <f>LOOKUP(C84,AJUSTE!B:B,AJUSTE!C:C)</f>
        <v>Nenhuma definida</v>
      </c>
      <c r="E84" s="81"/>
      <c r="F84" s="88"/>
      <c r="G84" s="88"/>
      <c r="H84" s="89"/>
      <c r="I84" s="90"/>
      <c r="J84" s="61">
        <f t="shared" si="7"/>
        <v>0</v>
      </c>
      <c r="K84" s="60" t="str">
        <f t="shared" si="8"/>
        <v/>
      </c>
      <c r="L84" s="60" t="str">
        <f>IF(J84,LOOKUP(C84,AJUSTE!B:B,AJUSTE!E:E),"")</f>
        <v/>
      </c>
      <c r="M84" s="62" t="str">
        <f>IF(J84,LOOKUP(C84,AJUSTE!B:B,AJUSTE!D:D),"")</f>
        <v/>
      </c>
      <c r="O84" s="1" t="str">
        <f t="shared" si="9"/>
        <v/>
      </c>
      <c r="P84" s="1" t="str">
        <f t="shared" si="10"/>
        <v xml:space="preserve">NULL </v>
      </c>
      <c r="Q84" s="1" t="str">
        <f t="shared" si="11"/>
        <v/>
      </c>
      <c r="R84" s="1" t="str">
        <f t="shared" si="12"/>
        <v/>
      </c>
      <c r="S84" s="1" t="str">
        <f t="shared" si="13"/>
        <v/>
      </c>
      <c r="T84" s="1"/>
      <c r="U84" s="1"/>
      <c r="V84" s="1"/>
      <c r="W84" s="1"/>
      <c r="X84" s="1"/>
    </row>
    <row r="85" spans="1:24" x14ac:dyDescent="0.25">
      <c r="A85" s="46">
        <v>76</v>
      </c>
      <c r="B85" s="59"/>
      <c r="C85" s="79">
        <v>30</v>
      </c>
      <c r="D85" s="60" t="str">
        <f>LOOKUP(C85,AJUSTE!B:B,AJUSTE!C:C)</f>
        <v>Nenhuma definida</v>
      </c>
      <c r="E85" s="81"/>
      <c r="F85" s="88"/>
      <c r="G85" s="88"/>
      <c r="H85" s="89"/>
      <c r="I85" s="90"/>
      <c r="J85" s="61">
        <f t="shared" si="7"/>
        <v>0</v>
      </c>
      <c r="K85" s="60" t="str">
        <f t="shared" si="8"/>
        <v/>
      </c>
      <c r="L85" s="60" t="str">
        <f>IF(J85,LOOKUP(C85,AJUSTE!B:B,AJUSTE!E:E),"")</f>
        <v/>
      </c>
      <c r="M85" s="62" t="str">
        <f>IF(J85,LOOKUP(C85,AJUSTE!B:B,AJUSTE!D:D),"")</f>
        <v/>
      </c>
      <c r="O85" s="1" t="str">
        <f t="shared" si="9"/>
        <v/>
      </c>
      <c r="P85" s="1" t="str">
        <f t="shared" si="10"/>
        <v xml:space="preserve">NULL </v>
      </c>
      <c r="Q85" s="1" t="str">
        <f t="shared" si="11"/>
        <v/>
      </c>
      <c r="R85" s="1" t="str">
        <f t="shared" si="12"/>
        <v/>
      </c>
      <c r="S85" s="1" t="str">
        <f t="shared" si="13"/>
        <v/>
      </c>
      <c r="T85" s="1"/>
      <c r="U85" s="1"/>
      <c r="V85" s="1"/>
      <c r="W85" s="1"/>
      <c r="X85" s="1"/>
    </row>
    <row r="86" spans="1:24" x14ac:dyDescent="0.25">
      <c r="A86" s="46">
        <v>77</v>
      </c>
      <c r="B86" s="59"/>
      <c r="C86" s="79">
        <v>30</v>
      </c>
      <c r="D86" s="60" t="str">
        <f>LOOKUP(C86,AJUSTE!B:B,AJUSTE!C:C)</f>
        <v>Nenhuma definida</v>
      </c>
      <c r="E86" s="81"/>
      <c r="F86" s="88"/>
      <c r="G86" s="88"/>
      <c r="H86" s="89"/>
      <c r="I86" s="90"/>
      <c r="J86" s="61">
        <f t="shared" si="7"/>
        <v>0</v>
      </c>
      <c r="K86" s="60" t="str">
        <f t="shared" si="8"/>
        <v/>
      </c>
      <c r="L86" s="60" t="str">
        <f>IF(J86,LOOKUP(C86,AJUSTE!B:B,AJUSTE!E:E),"")</f>
        <v/>
      </c>
      <c r="M86" s="62" t="str">
        <f>IF(J86,LOOKUP(C86,AJUSTE!B:B,AJUSTE!D:D),"")</f>
        <v/>
      </c>
      <c r="O86" s="1" t="str">
        <f t="shared" si="9"/>
        <v/>
      </c>
      <c r="P86" s="1" t="str">
        <f t="shared" si="10"/>
        <v xml:space="preserve">NULL </v>
      </c>
      <c r="Q86" s="1" t="str">
        <f t="shared" si="11"/>
        <v/>
      </c>
      <c r="R86" s="1" t="str">
        <f t="shared" si="12"/>
        <v/>
      </c>
      <c r="S86" s="1" t="str">
        <f t="shared" si="13"/>
        <v/>
      </c>
      <c r="T86" s="1"/>
      <c r="U86" s="1"/>
      <c r="V86" s="1"/>
      <c r="W86" s="1"/>
      <c r="X86" s="1"/>
    </row>
    <row r="87" spans="1:24" x14ac:dyDescent="0.25">
      <c r="A87" s="46">
        <v>78</v>
      </c>
      <c r="B87" s="59"/>
      <c r="C87" s="79">
        <v>30</v>
      </c>
      <c r="D87" s="60" t="str">
        <f>LOOKUP(C87,AJUSTE!B:B,AJUSTE!C:C)</f>
        <v>Nenhuma definida</v>
      </c>
      <c r="E87" s="81"/>
      <c r="F87" s="88"/>
      <c r="G87" s="88"/>
      <c r="H87" s="89"/>
      <c r="I87" s="90"/>
      <c r="J87" s="61">
        <f t="shared" si="7"/>
        <v>0</v>
      </c>
      <c r="K87" s="60" t="str">
        <f t="shared" si="8"/>
        <v/>
      </c>
      <c r="L87" s="60" t="str">
        <f>IF(J87,LOOKUP(C87,AJUSTE!B:B,AJUSTE!E:E),"")</f>
        <v/>
      </c>
      <c r="M87" s="62" t="str">
        <f>IF(J87,LOOKUP(C87,AJUSTE!B:B,AJUSTE!D:D),"")</f>
        <v/>
      </c>
      <c r="O87" s="1" t="str">
        <f t="shared" si="9"/>
        <v/>
      </c>
      <c r="P87" s="1" t="str">
        <f t="shared" si="10"/>
        <v xml:space="preserve">NULL </v>
      </c>
      <c r="Q87" s="1" t="str">
        <f t="shared" si="11"/>
        <v/>
      </c>
      <c r="R87" s="1" t="str">
        <f t="shared" si="12"/>
        <v/>
      </c>
      <c r="S87" s="1" t="str">
        <f t="shared" si="13"/>
        <v/>
      </c>
      <c r="T87" s="1"/>
      <c r="U87" s="1"/>
      <c r="V87" s="1"/>
      <c r="W87" s="1"/>
      <c r="X87" s="1"/>
    </row>
    <row r="88" spans="1:24" x14ac:dyDescent="0.25">
      <c r="A88" s="46">
        <v>79</v>
      </c>
      <c r="B88" s="59"/>
      <c r="C88" s="79">
        <v>30</v>
      </c>
      <c r="D88" s="60" t="str">
        <f>LOOKUP(C88,AJUSTE!B:B,AJUSTE!C:C)</f>
        <v>Nenhuma definida</v>
      </c>
      <c r="E88" s="81"/>
      <c r="F88" s="88"/>
      <c r="G88" s="88"/>
      <c r="H88" s="89"/>
      <c r="I88" s="90"/>
      <c r="J88" s="61">
        <f t="shared" si="7"/>
        <v>0</v>
      </c>
      <c r="K88" s="60" t="str">
        <f t="shared" si="8"/>
        <v/>
      </c>
      <c r="L88" s="60" t="str">
        <f>IF(J88,LOOKUP(C88,AJUSTE!B:B,AJUSTE!E:E),"")</f>
        <v/>
      </c>
      <c r="M88" s="62" t="str">
        <f>IF(J88,LOOKUP(C88,AJUSTE!B:B,AJUSTE!D:D),"")</f>
        <v/>
      </c>
      <c r="O88" s="1" t="str">
        <f t="shared" si="9"/>
        <v/>
      </c>
      <c r="P88" s="1" t="str">
        <f t="shared" si="10"/>
        <v xml:space="preserve">NULL </v>
      </c>
      <c r="Q88" s="1" t="str">
        <f t="shared" si="11"/>
        <v/>
      </c>
      <c r="R88" s="1" t="str">
        <f t="shared" si="12"/>
        <v/>
      </c>
      <c r="S88" s="1" t="str">
        <f t="shared" si="13"/>
        <v/>
      </c>
      <c r="T88" s="1"/>
      <c r="U88" s="1"/>
      <c r="V88" s="1"/>
      <c r="W88" s="1"/>
      <c r="X88" s="1"/>
    </row>
    <row r="89" spans="1:24" x14ac:dyDescent="0.25">
      <c r="A89" s="46">
        <v>80</v>
      </c>
      <c r="B89" s="59"/>
      <c r="C89" s="79">
        <v>30</v>
      </c>
      <c r="D89" s="60" t="str">
        <f>LOOKUP(C89,AJUSTE!B:B,AJUSTE!C:C)</f>
        <v>Nenhuma definida</v>
      </c>
      <c r="E89" s="81"/>
      <c r="F89" s="88"/>
      <c r="G89" s="88"/>
      <c r="H89" s="89"/>
      <c r="I89" s="90"/>
      <c r="J89" s="61">
        <f t="shared" si="7"/>
        <v>0</v>
      </c>
      <c r="K89" s="60" t="str">
        <f t="shared" si="8"/>
        <v/>
      </c>
      <c r="L89" s="60" t="str">
        <f>IF(J89,LOOKUP(C89,AJUSTE!B:B,AJUSTE!E:E),"")</f>
        <v/>
      </c>
      <c r="M89" s="62" t="str">
        <f>IF(J89,LOOKUP(C89,AJUSTE!B:B,AJUSTE!D:D),"")</f>
        <v/>
      </c>
      <c r="O89" s="1" t="str">
        <f t="shared" si="9"/>
        <v/>
      </c>
      <c r="P89" s="1" t="str">
        <f t="shared" si="10"/>
        <v xml:space="preserve">NULL </v>
      </c>
      <c r="Q89" s="1" t="str">
        <f t="shared" si="11"/>
        <v/>
      </c>
      <c r="R89" s="1" t="str">
        <f t="shared" si="12"/>
        <v/>
      </c>
      <c r="S89" s="1" t="str">
        <f t="shared" si="13"/>
        <v/>
      </c>
      <c r="T89" s="1"/>
      <c r="U89" s="1"/>
      <c r="V89" s="1"/>
      <c r="W89" s="1"/>
      <c r="X89" s="1"/>
    </row>
    <row r="90" spans="1:24" x14ac:dyDescent="0.25">
      <c r="A90" s="46">
        <v>81</v>
      </c>
      <c r="B90" s="59"/>
      <c r="C90" s="79">
        <v>30</v>
      </c>
      <c r="D90" s="60" t="str">
        <f>LOOKUP(C90,AJUSTE!B:B,AJUSTE!C:C)</f>
        <v>Nenhuma definida</v>
      </c>
      <c r="E90" s="81"/>
      <c r="F90" s="88"/>
      <c r="G90" s="88"/>
      <c r="H90" s="89"/>
      <c r="I90" s="90"/>
      <c r="J90" s="61">
        <f t="shared" si="7"/>
        <v>0</v>
      </c>
      <c r="K90" s="60" t="str">
        <f t="shared" si="8"/>
        <v/>
      </c>
      <c r="L90" s="60" t="str">
        <f>IF(J90,LOOKUP(C90,AJUSTE!B:B,AJUSTE!E:E),"")</f>
        <v/>
      </c>
      <c r="M90" s="62" t="str">
        <f>IF(J90,LOOKUP(C90,AJUSTE!B:B,AJUSTE!D:D),"")</f>
        <v/>
      </c>
      <c r="O90" s="1" t="str">
        <f t="shared" si="9"/>
        <v/>
      </c>
      <c r="P90" s="1" t="str">
        <f t="shared" si="10"/>
        <v xml:space="preserve">NULL </v>
      </c>
      <c r="Q90" s="1" t="str">
        <f t="shared" si="11"/>
        <v/>
      </c>
      <c r="R90" s="1" t="str">
        <f t="shared" si="12"/>
        <v/>
      </c>
      <c r="S90" s="1" t="str">
        <f t="shared" si="13"/>
        <v/>
      </c>
      <c r="T90" s="1"/>
      <c r="U90" s="1"/>
      <c r="V90" s="1"/>
      <c r="W90" s="1"/>
      <c r="X90" s="1"/>
    </row>
    <row r="91" spans="1:24" x14ac:dyDescent="0.25">
      <c r="A91" s="46">
        <v>82</v>
      </c>
      <c r="B91" s="59"/>
      <c r="C91" s="79">
        <v>30</v>
      </c>
      <c r="D91" s="60" t="str">
        <f>LOOKUP(C91,AJUSTE!B:B,AJUSTE!C:C)</f>
        <v>Nenhuma definida</v>
      </c>
      <c r="E91" s="81"/>
      <c r="F91" s="88"/>
      <c r="G91" s="88"/>
      <c r="H91" s="89"/>
      <c r="I91" s="90"/>
      <c r="J91" s="61">
        <f t="shared" si="7"/>
        <v>0</v>
      </c>
      <c r="K91" s="60" t="str">
        <f t="shared" si="8"/>
        <v/>
      </c>
      <c r="L91" s="60" t="str">
        <f>IF(J91,LOOKUP(C91,AJUSTE!B:B,AJUSTE!E:E),"")</f>
        <v/>
      </c>
      <c r="M91" s="62" t="str">
        <f>IF(J91,LOOKUP(C91,AJUSTE!B:B,AJUSTE!D:D),"")</f>
        <v/>
      </c>
      <c r="O91" s="1" t="str">
        <f t="shared" si="9"/>
        <v/>
      </c>
      <c r="P91" s="1" t="str">
        <f t="shared" si="10"/>
        <v xml:space="preserve">NULL </v>
      </c>
      <c r="Q91" s="1" t="str">
        <f t="shared" si="11"/>
        <v/>
      </c>
      <c r="R91" s="1" t="str">
        <f t="shared" si="12"/>
        <v/>
      </c>
      <c r="S91" s="1" t="str">
        <f t="shared" si="13"/>
        <v/>
      </c>
      <c r="T91" s="1"/>
      <c r="U91" s="1"/>
      <c r="V91" s="1"/>
      <c r="W91" s="1"/>
      <c r="X91" s="1"/>
    </row>
    <row r="92" spans="1:24" x14ac:dyDescent="0.25">
      <c r="A92" s="46">
        <v>83</v>
      </c>
      <c r="B92" s="59"/>
      <c r="C92" s="79">
        <v>30</v>
      </c>
      <c r="D92" s="60" t="str">
        <f>LOOKUP(C92,AJUSTE!B:B,AJUSTE!C:C)</f>
        <v>Nenhuma definida</v>
      </c>
      <c r="E92" s="81"/>
      <c r="F92" s="88"/>
      <c r="G92" s="88"/>
      <c r="H92" s="89"/>
      <c r="I92" s="90"/>
      <c r="J92" s="61">
        <f t="shared" si="7"/>
        <v>0</v>
      </c>
      <c r="K92" s="60" t="str">
        <f t="shared" si="8"/>
        <v/>
      </c>
      <c r="L92" s="60" t="str">
        <f>IF(J92,LOOKUP(C92,AJUSTE!B:B,AJUSTE!E:E),"")</f>
        <v/>
      </c>
      <c r="M92" s="62" t="str">
        <f>IF(J92,LOOKUP(C92,AJUSTE!B:B,AJUSTE!D:D),"")</f>
        <v/>
      </c>
      <c r="O92" s="1" t="str">
        <f t="shared" si="9"/>
        <v/>
      </c>
      <c r="P92" s="1" t="str">
        <f t="shared" si="10"/>
        <v xml:space="preserve">NULL </v>
      </c>
      <c r="Q92" s="1" t="str">
        <f t="shared" si="11"/>
        <v/>
      </c>
      <c r="R92" s="1" t="str">
        <f t="shared" si="12"/>
        <v/>
      </c>
      <c r="S92" s="1" t="str">
        <f t="shared" si="13"/>
        <v/>
      </c>
      <c r="T92" s="1"/>
      <c r="U92" s="1"/>
      <c r="V92" s="1"/>
      <c r="W92" s="1"/>
      <c r="X92" s="1"/>
    </row>
    <row r="93" spans="1:24" x14ac:dyDescent="0.25">
      <c r="A93" s="46">
        <v>84</v>
      </c>
      <c r="B93" s="59"/>
      <c r="C93" s="79">
        <v>30</v>
      </c>
      <c r="D93" s="60" t="str">
        <f>LOOKUP(C93,AJUSTE!B:B,AJUSTE!C:C)</f>
        <v>Nenhuma definida</v>
      </c>
      <c r="E93" s="81"/>
      <c r="F93" s="88"/>
      <c r="G93" s="88"/>
      <c r="H93" s="89"/>
      <c r="I93" s="90"/>
      <c r="J93" s="61">
        <f t="shared" si="7"/>
        <v>0</v>
      </c>
      <c r="K93" s="60" t="str">
        <f t="shared" si="8"/>
        <v/>
      </c>
      <c r="L93" s="60" t="str">
        <f>IF(J93,LOOKUP(C93,AJUSTE!B:B,AJUSTE!E:E),"")</f>
        <v/>
      </c>
      <c r="M93" s="62" t="str">
        <f>IF(J93,LOOKUP(C93,AJUSTE!B:B,AJUSTE!D:D),"")</f>
        <v/>
      </c>
      <c r="O93" s="1" t="str">
        <f t="shared" si="9"/>
        <v/>
      </c>
      <c r="P93" s="1" t="str">
        <f t="shared" si="10"/>
        <v xml:space="preserve">NULL </v>
      </c>
      <c r="Q93" s="1" t="str">
        <f t="shared" si="11"/>
        <v/>
      </c>
      <c r="R93" s="1" t="str">
        <f t="shared" si="12"/>
        <v/>
      </c>
      <c r="S93" s="1" t="str">
        <f t="shared" si="13"/>
        <v/>
      </c>
      <c r="T93" s="1"/>
      <c r="U93" s="1"/>
      <c r="V93" s="1"/>
      <c r="W93" s="1"/>
      <c r="X93" s="1"/>
    </row>
    <row r="94" spans="1:24" x14ac:dyDescent="0.25">
      <c r="A94" s="46">
        <v>85</v>
      </c>
      <c r="B94" s="59"/>
      <c r="C94" s="79">
        <v>30</v>
      </c>
      <c r="D94" s="60" t="str">
        <f>LOOKUP(C94,AJUSTE!B:B,AJUSTE!C:C)</f>
        <v>Nenhuma definida</v>
      </c>
      <c r="E94" s="81"/>
      <c r="F94" s="88"/>
      <c r="G94" s="88"/>
      <c r="H94" s="89"/>
      <c r="I94" s="90"/>
      <c r="J94" s="61">
        <f t="shared" si="7"/>
        <v>0</v>
      </c>
      <c r="K94" s="60" t="str">
        <f t="shared" si="8"/>
        <v/>
      </c>
      <c r="L94" s="60" t="str">
        <f>IF(J94,LOOKUP(C94,AJUSTE!B:B,AJUSTE!E:E),"")</f>
        <v/>
      </c>
      <c r="M94" s="62" t="str">
        <f>IF(J94,LOOKUP(C94,AJUSTE!B:B,AJUSTE!D:D),"")</f>
        <v/>
      </c>
      <c r="O94" s="1" t="str">
        <f t="shared" si="9"/>
        <v/>
      </c>
      <c r="P94" s="1" t="str">
        <f t="shared" si="10"/>
        <v xml:space="preserve">NULL </v>
      </c>
      <c r="Q94" s="1" t="str">
        <f t="shared" si="11"/>
        <v/>
      </c>
      <c r="R94" s="1" t="str">
        <f t="shared" si="12"/>
        <v/>
      </c>
      <c r="S94" s="1" t="str">
        <f t="shared" si="13"/>
        <v/>
      </c>
      <c r="T94" s="1"/>
      <c r="U94" s="1"/>
      <c r="V94" s="1"/>
      <c r="W94" s="1"/>
      <c r="X94" s="1"/>
    </row>
    <row r="95" spans="1:24" x14ac:dyDescent="0.25">
      <c r="A95" s="46">
        <v>86</v>
      </c>
      <c r="B95" s="59"/>
      <c r="C95" s="79">
        <v>30</v>
      </c>
      <c r="D95" s="60" t="str">
        <f>LOOKUP(C95,AJUSTE!B:B,AJUSTE!C:C)</f>
        <v>Nenhuma definida</v>
      </c>
      <c r="E95" s="81"/>
      <c r="F95" s="88"/>
      <c r="G95" s="88"/>
      <c r="H95" s="89"/>
      <c r="I95" s="90"/>
      <c r="J95" s="61">
        <f t="shared" si="7"/>
        <v>0</v>
      </c>
      <c r="K95" s="60" t="str">
        <f t="shared" si="8"/>
        <v/>
      </c>
      <c r="L95" s="60" t="str">
        <f>IF(J95,LOOKUP(C95,AJUSTE!B:B,AJUSTE!E:E),"")</f>
        <v/>
      </c>
      <c r="M95" s="62" t="str">
        <f>IF(J95,LOOKUP(C95,AJUSTE!B:B,AJUSTE!D:D),"")</f>
        <v/>
      </c>
      <c r="O95" s="1" t="str">
        <f t="shared" si="9"/>
        <v/>
      </c>
      <c r="P95" s="1" t="str">
        <f t="shared" si="10"/>
        <v xml:space="preserve">NULL </v>
      </c>
      <c r="Q95" s="1" t="str">
        <f t="shared" si="11"/>
        <v/>
      </c>
      <c r="R95" s="1" t="str">
        <f t="shared" si="12"/>
        <v/>
      </c>
      <c r="S95" s="1" t="str">
        <f t="shared" si="13"/>
        <v/>
      </c>
      <c r="T95" s="1"/>
      <c r="U95" s="1"/>
      <c r="V95" s="1"/>
      <c r="W95" s="1"/>
      <c r="X95" s="1"/>
    </row>
    <row r="96" spans="1:24" x14ac:dyDescent="0.25">
      <c r="A96" s="46">
        <v>87</v>
      </c>
      <c r="B96" s="59"/>
      <c r="C96" s="79">
        <v>30</v>
      </c>
      <c r="D96" s="60" t="str">
        <f>LOOKUP(C96,AJUSTE!B:B,AJUSTE!C:C)</f>
        <v>Nenhuma definida</v>
      </c>
      <c r="E96" s="81"/>
      <c r="F96" s="88"/>
      <c r="G96" s="88"/>
      <c r="H96" s="89"/>
      <c r="I96" s="90"/>
      <c r="J96" s="61">
        <f t="shared" si="7"/>
        <v>0</v>
      </c>
      <c r="K96" s="60" t="str">
        <f t="shared" si="8"/>
        <v/>
      </c>
      <c r="L96" s="60" t="str">
        <f>IF(J96,LOOKUP(C96,AJUSTE!B:B,AJUSTE!E:E),"")</f>
        <v/>
      </c>
      <c r="M96" s="62" t="str">
        <f>IF(J96,LOOKUP(C96,AJUSTE!B:B,AJUSTE!D:D),"")</f>
        <v/>
      </c>
      <c r="O96" s="1" t="str">
        <f t="shared" si="9"/>
        <v/>
      </c>
      <c r="P96" s="1" t="str">
        <f t="shared" si="10"/>
        <v xml:space="preserve">NULL </v>
      </c>
      <c r="Q96" s="1" t="str">
        <f t="shared" si="11"/>
        <v/>
      </c>
      <c r="R96" s="1" t="str">
        <f t="shared" si="12"/>
        <v/>
      </c>
      <c r="S96" s="1" t="str">
        <f t="shared" si="13"/>
        <v/>
      </c>
      <c r="T96" s="1"/>
      <c r="U96" s="1"/>
      <c r="V96" s="1"/>
      <c r="W96" s="1"/>
      <c r="X96" s="1"/>
    </row>
    <row r="97" spans="1:24" x14ac:dyDescent="0.25">
      <c r="A97" s="46">
        <v>88</v>
      </c>
      <c r="B97" s="59"/>
      <c r="C97" s="79">
        <v>30</v>
      </c>
      <c r="D97" s="60" t="str">
        <f>LOOKUP(C97,AJUSTE!B:B,AJUSTE!C:C)</f>
        <v>Nenhuma definida</v>
      </c>
      <c r="E97" s="81"/>
      <c r="F97" s="88"/>
      <c r="G97" s="88"/>
      <c r="H97" s="89"/>
      <c r="I97" s="90"/>
      <c r="J97" s="61">
        <f t="shared" si="7"/>
        <v>0</v>
      </c>
      <c r="K97" s="60" t="str">
        <f t="shared" si="8"/>
        <v/>
      </c>
      <c r="L97" s="60" t="str">
        <f>IF(J97,LOOKUP(C97,AJUSTE!B:B,AJUSTE!E:E),"")</f>
        <v/>
      </c>
      <c r="M97" s="62" t="str">
        <f>IF(J97,LOOKUP(C97,AJUSTE!B:B,AJUSTE!D:D),"")</f>
        <v/>
      </c>
      <c r="O97" s="1" t="str">
        <f t="shared" si="9"/>
        <v/>
      </c>
      <c r="P97" s="1" t="str">
        <f t="shared" si="10"/>
        <v xml:space="preserve">NULL </v>
      </c>
      <c r="Q97" s="1" t="str">
        <f t="shared" si="11"/>
        <v/>
      </c>
      <c r="R97" s="1" t="str">
        <f t="shared" si="12"/>
        <v/>
      </c>
      <c r="S97" s="1" t="str">
        <f t="shared" si="13"/>
        <v/>
      </c>
      <c r="T97" s="1"/>
      <c r="U97" s="1"/>
      <c r="V97" s="1"/>
      <c r="W97" s="1"/>
      <c r="X97" s="1"/>
    </row>
    <row r="98" spans="1:24" x14ac:dyDescent="0.25">
      <c r="A98" s="46">
        <v>89</v>
      </c>
      <c r="B98" s="59"/>
      <c r="C98" s="79">
        <v>30</v>
      </c>
      <c r="D98" s="60" t="str">
        <f>LOOKUP(C98,AJUSTE!B:B,AJUSTE!C:C)</f>
        <v>Nenhuma definida</v>
      </c>
      <c r="E98" s="81"/>
      <c r="F98" s="88"/>
      <c r="G98" s="88"/>
      <c r="H98" s="89"/>
      <c r="I98" s="90"/>
      <c r="J98" s="61">
        <f t="shared" si="7"/>
        <v>0</v>
      </c>
      <c r="K98" s="60" t="str">
        <f t="shared" si="8"/>
        <v/>
      </c>
      <c r="L98" s="60" t="str">
        <f>IF(J98,LOOKUP(C98,AJUSTE!B:B,AJUSTE!E:E),"")</f>
        <v/>
      </c>
      <c r="M98" s="62" t="str">
        <f>IF(J98,LOOKUP(C98,AJUSTE!B:B,AJUSTE!D:D),"")</f>
        <v/>
      </c>
      <c r="O98" s="1" t="str">
        <f t="shared" si="9"/>
        <v/>
      </c>
      <c r="P98" s="1" t="str">
        <f t="shared" si="10"/>
        <v xml:space="preserve">NULL </v>
      </c>
      <c r="Q98" s="1" t="str">
        <f t="shared" si="11"/>
        <v/>
      </c>
      <c r="R98" s="1" t="str">
        <f t="shared" si="12"/>
        <v/>
      </c>
      <c r="S98" s="1" t="str">
        <f t="shared" si="13"/>
        <v/>
      </c>
      <c r="T98" s="1"/>
      <c r="U98" s="1"/>
      <c r="V98" s="1"/>
      <c r="W98" s="1"/>
      <c r="X98" s="1"/>
    </row>
    <row r="99" spans="1:24" x14ac:dyDescent="0.25">
      <c r="A99" s="46">
        <v>90</v>
      </c>
      <c r="B99" s="59"/>
      <c r="C99" s="79">
        <v>30</v>
      </c>
      <c r="D99" s="60" t="str">
        <f>LOOKUP(C99,AJUSTE!B:B,AJUSTE!C:C)</f>
        <v>Nenhuma definida</v>
      </c>
      <c r="E99" s="81"/>
      <c r="F99" s="88"/>
      <c r="G99" s="88"/>
      <c r="H99" s="89"/>
      <c r="I99" s="90"/>
      <c r="J99" s="61">
        <f t="shared" si="7"/>
        <v>0</v>
      </c>
      <c r="K99" s="60" t="str">
        <f t="shared" si="8"/>
        <v/>
      </c>
      <c r="L99" s="60" t="str">
        <f>IF(J99,LOOKUP(C99,AJUSTE!B:B,AJUSTE!E:E),"")</f>
        <v/>
      </c>
      <c r="M99" s="62" t="str">
        <f>IF(J99,LOOKUP(C99,AJUSTE!B:B,AJUSTE!D:D),"")</f>
        <v/>
      </c>
      <c r="O99" s="1" t="str">
        <f t="shared" si="9"/>
        <v/>
      </c>
      <c r="P99" s="1" t="str">
        <f t="shared" si="10"/>
        <v xml:space="preserve">NULL </v>
      </c>
      <c r="Q99" s="1" t="str">
        <f t="shared" si="11"/>
        <v/>
      </c>
      <c r="R99" s="1" t="str">
        <f t="shared" si="12"/>
        <v/>
      </c>
      <c r="S99" s="1" t="str">
        <f t="shared" si="13"/>
        <v/>
      </c>
      <c r="T99" s="1"/>
      <c r="U99" s="1"/>
      <c r="V99" s="1"/>
      <c r="W99" s="1"/>
      <c r="X99" s="1"/>
    </row>
    <row r="100" spans="1:24" x14ac:dyDescent="0.25">
      <c r="A100" s="46">
        <v>91</v>
      </c>
      <c r="B100" s="59"/>
      <c r="C100" s="79">
        <v>30</v>
      </c>
      <c r="D100" s="60" t="str">
        <f>LOOKUP(C100,AJUSTE!B:B,AJUSTE!C:C)</f>
        <v>Nenhuma definida</v>
      </c>
      <c r="E100" s="81"/>
      <c r="F100" s="88"/>
      <c r="G100" s="88"/>
      <c r="H100" s="89"/>
      <c r="I100" s="90"/>
      <c r="J100" s="61">
        <f t="shared" si="7"/>
        <v>0</v>
      </c>
      <c r="K100" s="60" t="str">
        <f t="shared" si="8"/>
        <v/>
      </c>
      <c r="L100" s="60" t="str">
        <f>IF(J100,LOOKUP(C100,AJUSTE!B:B,AJUSTE!E:E),"")</f>
        <v/>
      </c>
      <c r="M100" s="62" t="str">
        <f>IF(J100,LOOKUP(C100,AJUSTE!B:B,AJUSTE!D:D),"")</f>
        <v/>
      </c>
      <c r="O100" s="1" t="str">
        <f t="shared" si="9"/>
        <v/>
      </c>
      <c r="P100" s="1" t="str">
        <f t="shared" si="10"/>
        <v xml:space="preserve">NULL </v>
      </c>
      <c r="Q100" s="1" t="str">
        <f t="shared" si="11"/>
        <v/>
      </c>
      <c r="R100" s="1" t="str">
        <f t="shared" si="12"/>
        <v/>
      </c>
      <c r="S100" s="1" t="str">
        <f t="shared" si="13"/>
        <v/>
      </c>
      <c r="T100" s="1"/>
      <c r="U100" s="1"/>
      <c r="V100" s="1"/>
      <c r="W100" s="1"/>
      <c r="X100" s="1"/>
    </row>
    <row r="101" spans="1:24" x14ac:dyDescent="0.25">
      <c r="A101" s="46">
        <v>92</v>
      </c>
      <c r="B101" s="59"/>
      <c r="C101" s="79">
        <v>30</v>
      </c>
      <c r="D101" s="60" t="str">
        <f>LOOKUP(C101,AJUSTE!B:B,AJUSTE!C:C)</f>
        <v>Nenhuma definida</v>
      </c>
      <c r="E101" s="81"/>
      <c r="F101" s="88"/>
      <c r="G101" s="88"/>
      <c r="H101" s="89"/>
      <c r="I101" s="90"/>
      <c r="J101" s="61">
        <f t="shared" si="7"/>
        <v>0</v>
      </c>
      <c r="K101" s="60" t="str">
        <f t="shared" si="8"/>
        <v/>
      </c>
      <c r="L101" s="60" t="str">
        <f>IF(J101,LOOKUP(C101,AJUSTE!B:B,AJUSTE!E:E),"")</f>
        <v/>
      </c>
      <c r="M101" s="62" t="str">
        <f>IF(J101,LOOKUP(C101,AJUSTE!B:B,AJUSTE!D:D),"")</f>
        <v/>
      </c>
      <c r="O101" s="1" t="str">
        <f t="shared" si="9"/>
        <v/>
      </c>
      <c r="P101" s="1" t="str">
        <f t="shared" si="10"/>
        <v xml:space="preserve">NULL </v>
      </c>
      <c r="Q101" s="1" t="str">
        <f t="shared" si="11"/>
        <v/>
      </c>
      <c r="R101" s="1" t="str">
        <f t="shared" si="12"/>
        <v/>
      </c>
      <c r="S101" s="1" t="str">
        <f t="shared" si="13"/>
        <v/>
      </c>
      <c r="T101" s="1"/>
      <c r="U101" s="1"/>
      <c r="V101" s="1"/>
      <c r="W101" s="1"/>
      <c r="X101" s="1"/>
    </row>
    <row r="102" spans="1:24" x14ac:dyDescent="0.25">
      <c r="A102" s="46">
        <v>93</v>
      </c>
      <c r="B102" s="59"/>
      <c r="C102" s="79">
        <v>30</v>
      </c>
      <c r="D102" s="60" t="str">
        <f>LOOKUP(C102,AJUSTE!B:B,AJUSTE!C:C)</f>
        <v>Nenhuma definida</v>
      </c>
      <c r="E102" s="81"/>
      <c r="F102" s="88"/>
      <c r="G102" s="88"/>
      <c r="H102" s="89"/>
      <c r="I102" s="90"/>
      <c r="J102" s="61">
        <f t="shared" si="7"/>
        <v>0</v>
      </c>
      <c r="K102" s="60" t="str">
        <f t="shared" si="8"/>
        <v/>
      </c>
      <c r="L102" s="60" t="str">
        <f>IF(J102,LOOKUP(C102,AJUSTE!B:B,AJUSTE!E:E),"")</f>
        <v/>
      </c>
      <c r="M102" s="62" t="str">
        <f>IF(J102,LOOKUP(C102,AJUSTE!B:B,AJUSTE!D:D),"")</f>
        <v/>
      </c>
      <c r="O102" s="1" t="str">
        <f t="shared" si="9"/>
        <v/>
      </c>
      <c r="P102" s="1" t="str">
        <f t="shared" si="10"/>
        <v xml:space="preserve">NULL </v>
      </c>
      <c r="Q102" s="1" t="str">
        <f t="shared" si="11"/>
        <v/>
      </c>
      <c r="R102" s="1" t="str">
        <f t="shared" si="12"/>
        <v/>
      </c>
      <c r="S102" s="1" t="str">
        <f t="shared" si="13"/>
        <v/>
      </c>
      <c r="T102" s="1"/>
      <c r="U102" s="1"/>
      <c r="V102" s="1"/>
      <c r="W102" s="1"/>
      <c r="X102" s="1"/>
    </row>
    <row r="103" spans="1:24" x14ac:dyDescent="0.25">
      <c r="A103" s="46">
        <v>94</v>
      </c>
      <c r="B103" s="59"/>
      <c r="C103" s="79">
        <v>30</v>
      </c>
      <c r="D103" s="60" t="str">
        <f>LOOKUP(C103,AJUSTE!B:B,AJUSTE!C:C)</f>
        <v>Nenhuma definida</v>
      </c>
      <c r="E103" s="81"/>
      <c r="F103" s="88"/>
      <c r="G103" s="88"/>
      <c r="H103" s="89"/>
      <c r="I103" s="90"/>
      <c r="J103" s="61">
        <f t="shared" si="7"/>
        <v>0</v>
      </c>
      <c r="K103" s="60" t="str">
        <f t="shared" si="8"/>
        <v/>
      </c>
      <c r="L103" s="60" t="str">
        <f>IF(J103,LOOKUP(C103,AJUSTE!B:B,AJUSTE!E:E),"")</f>
        <v/>
      </c>
      <c r="M103" s="62" t="str">
        <f>IF(J103,LOOKUP(C103,AJUSTE!B:B,AJUSTE!D:D),"")</f>
        <v/>
      </c>
      <c r="O103" s="1" t="str">
        <f t="shared" si="9"/>
        <v/>
      </c>
      <c r="P103" s="1" t="str">
        <f t="shared" si="10"/>
        <v xml:space="preserve">NULL </v>
      </c>
      <c r="Q103" s="1" t="str">
        <f t="shared" si="11"/>
        <v/>
      </c>
      <c r="R103" s="1" t="str">
        <f t="shared" si="12"/>
        <v/>
      </c>
      <c r="S103" s="1" t="str">
        <f t="shared" si="13"/>
        <v/>
      </c>
      <c r="T103" s="1"/>
      <c r="U103" s="1"/>
      <c r="V103" s="1"/>
      <c r="W103" s="1"/>
      <c r="X103" s="1"/>
    </row>
    <row r="104" spans="1:24" x14ac:dyDescent="0.25">
      <c r="A104" s="46">
        <v>95</v>
      </c>
      <c r="B104" s="59"/>
      <c r="C104" s="79">
        <v>30</v>
      </c>
      <c r="D104" s="60" t="str">
        <f>LOOKUP(C104,AJUSTE!B:B,AJUSTE!C:C)</f>
        <v>Nenhuma definida</v>
      </c>
      <c r="E104" s="81"/>
      <c r="F104" s="88"/>
      <c r="G104" s="88"/>
      <c r="H104" s="89"/>
      <c r="I104" s="90"/>
      <c r="J104" s="61">
        <f t="shared" si="7"/>
        <v>0</v>
      </c>
      <c r="K104" s="60" t="str">
        <f t="shared" si="8"/>
        <v/>
      </c>
      <c r="L104" s="60" t="str">
        <f>IF(J104,LOOKUP(C104,AJUSTE!B:B,AJUSTE!E:E),"")</f>
        <v/>
      </c>
      <c r="M104" s="62" t="str">
        <f>IF(J104,LOOKUP(C104,AJUSTE!B:B,AJUSTE!D:D),"")</f>
        <v/>
      </c>
      <c r="O104" s="1" t="str">
        <f t="shared" si="9"/>
        <v/>
      </c>
      <c r="P104" s="1" t="str">
        <f t="shared" si="10"/>
        <v xml:space="preserve">NULL </v>
      </c>
      <c r="Q104" s="1" t="str">
        <f t="shared" si="11"/>
        <v/>
      </c>
      <c r="R104" s="1" t="str">
        <f t="shared" si="12"/>
        <v/>
      </c>
      <c r="S104" s="1" t="str">
        <f t="shared" si="13"/>
        <v/>
      </c>
      <c r="T104" s="1"/>
      <c r="U104" s="1"/>
      <c r="V104" s="1"/>
      <c r="W104" s="1"/>
      <c r="X104" s="1"/>
    </row>
    <row r="105" spans="1:24" x14ac:dyDescent="0.25">
      <c r="A105" s="46">
        <v>96</v>
      </c>
      <c r="B105" s="59"/>
      <c r="C105" s="79">
        <v>30</v>
      </c>
      <c r="D105" s="60" t="str">
        <f>LOOKUP(C105,AJUSTE!B:B,AJUSTE!C:C)</f>
        <v>Nenhuma definida</v>
      </c>
      <c r="E105" s="81"/>
      <c r="F105" s="88"/>
      <c r="G105" s="88"/>
      <c r="H105" s="89"/>
      <c r="I105" s="90"/>
      <c r="J105" s="61">
        <f t="shared" si="7"/>
        <v>0</v>
      </c>
      <c r="K105" s="60" t="str">
        <f t="shared" si="8"/>
        <v/>
      </c>
      <c r="L105" s="60" t="str">
        <f>IF(J105,LOOKUP(C105,AJUSTE!B:B,AJUSTE!E:E),"")</f>
        <v/>
      </c>
      <c r="M105" s="62" t="str">
        <f>IF(J105,LOOKUP(C105,AJUSTE!B:B,AJUSTE!D:D),"")</f>
        <v/>
      </c>
      <c r="O105" s="1" t="str">
        <f t="shared" si="9"/>
        <v/>
      </c>
      <c r="P105" s="1" t="str">
        <f t="shared" si="10"/>
        <v xml:space="preserve">NULL </v>
      </c>
      <c r="Q105" s="1" t="str">
        <f t="shared" si="11"/>
        <v/>
      </c>
      <c r="R105" s="1" t="str">
        <f t="shared" si="12"/>
        <v/>
      </c>
      <c r="S105" s="1" t="str">
        <f t="shared" si="13"/>
        <v/>
      </c>
      <c r="T105" s="1"/>
      <c r="U105" s="1"/>
      <c r="V105" s="1"/>
      <c r="W105" s="1"/>
      <c r="X105" s="1"/>
    </row>
    <row r="106" spans="1:24" x14ac:dyDescent="0.25">
      <c r="A106" s="46">
        <v>97</v>
      </c>
      <c r="B106" s="59"/>
      <c r="C106" s="79">
        <v>30</v>
      </c>
      <c r="D106" s="60" t="str">
        <f>LOOKUP(C106,AJUSTE!B:B,AJUSTE!C:C)</f>
        <v>Nenhuma definida</v>
      </c>
      <c r="E106" s="81"/>
      <c r="F106" s="88"/>
      <c r="G106" s="88"/>
      <c r="H106" s="89"/>
      <c r="I106" s="90"/>
      <c r="J106" s="61">
        <f t="shared" si="7"/>
        <v>0</v>
      </c>
      <c r="K106" s="60" t="str">
        <f t="shared" si="8"/>
        <v/>
      </c>
      <c r="L106" s="60" t="str">
        <f>IF(J106,LOOKUP(C106,AJUSTE!B:B,AJUSTE!E:E),"")</f>
        <v/>
      </c>
      <c r="M106" s="62" t="str">
        <f>IF(J106,LOOKUP(C106,AJUSTE!B:B,AJUSTE!D:D),"")</f>
        <v/>
      </c>
      <c r="O106" s="1" t="str">
        <f t="shared" si="9"/>
        <v/>
      </c>
      <c r="P106" s="1" t="str">
        <f t="shared" ref="P106:P109" si="14">IF(I106,"NOT NULL ","NULL ")</f>
        <v xml:space="preserve">NULL </v>
      </c>
      <c r="Q106" s="1" t="str">
        <f t="shared" si="11"/>
        <v/>
      </c>
      <c r="R106" s="1" t="str">
        <f t="shared" si="12"/>
        <v/>
      </c>
      <c r="S106" s="1" t="str">
        <f t="shared" si="13"/>
        <v/>
      </c>
      <c r="T106" s="1"/>
      <c r="U106" s="1"/>
      <c r="V106" s="1"/>
      <c r="W106" s="1"/>
      <c r="X106" s="1"/>
    </row>
    <row r="107" spans="1:24" x14ac:dyDescent="0.25">
      <c r="A107" s="46">
        <v>98</v>
      </c>
      <c r="B107" s="59"/>
      <c r="C107" s="79">
        <v>30</v>
      </c>
      <c r="D107" s="60" t="str">
        <f>LOOKUP(C107,AJUSTE!B:B,AJUSTE!C:C)</f>
        <v>Nenhuma definida</v>
      </c>
      <c r="E107" s="81"/>
      <c r="F107" s="88"/>
      <c r="G107" s="88"/>
      <c r="H107" s="89"/>
      <c r="I107" s="90"/>
      <c r="J107" s="61">
        <f t="shared" si="7"/>
        <v>0</v>
      </c>
      <c r="K107" s="60" t="str">
        <f t="shared" si="8"/>
        <v/>
      </c>
      <c r="L107" s="60" t="str">
        <f>IF(J107,LOOKUP(C107,AJUSTE!B:B,AJUSTE!E:E),"")</f>
        <v/>
      </c>
      <c r="M107" s="62" t="str">
        <f>IF(J107,LOOKUP(C107,AJUSTE!B:B,AJUSTE!D:D),"")</f>
        <v/>
      </c>
      <c r="O107" s="1" t="str">
        <f t="shared" si="9"/>
        <v/>
      </c>
      <c r="P107" s="1" t="str">
        <f t="shared" si="14"/>
        <v xml:space="preserve">NULL </v>
      </c>
      <c r="Q107" s="1" t="str">
        <f t="shared" si="11"/>
        <v/>
      </c>
      <c r="R107" s="1" t="str">
        <f t="shared" si="12"/>
        <v/>
      </c>
      <c r="S107" s="1" t="str">
        <f t="shared" si="13"/>
        <v/>
      </c>
      <c r="T107" s="1"/>
      <c r="U107" s="1"/>
      <c r="V107" s="1"/>
      <c r="W107" s="1"/>
      <c r="X107" s="1"/>
    </row>
    <row r="108" spans="1:24" x14ac:dyDescent="0.25">
      <c r="A108" s="46">
        <v>99</v>
      </c>
      <c r="B108" s="59"/>
      <c r="C108" s="79">
        <v>30</v>
      </c>
      <c r="D108" s="60" t="str">
        <f>LOOKUP(C108,AJUSTE!B:B,AJUSTE!C:C)</f>
        <v>Nenhuma definida</v>
      </c>
      <c r="E108" s="81"/>
      <c r="F108" s="88"/>
      <c r="G108" s="88"/>
      <c r="H108" s="89"/>
      <c r="I108" s="90"/>
      <c r="J108" s="61">
        <f t="shared" si="7"/>
        <v>0</v>
      </c>
      <c r="K108" s="60" t="str">
        <f t="shared" si="8"/>
        <v/>
      </c>
      <c r="L108" s="60" t="str">
        <f>IF(J108,LOOKUP(C108,AJUSTE!B:B,AJUSTE!E:E),"")</f>
        <v/>
      </c>
      <c r="M108" s="62" t="str">
        <f>IF(J108,LOOKUP(C108,AJUSTE!B:B,AJUSTE!D:D),"")</f>
        <v/>
      </c>
      <c r="O108" s="1" t="str">
        <f t="shared" si="9"/>
        <v/>
      </c>
      <c r="P108" s="1" t="str">
        <f t="shared" si="14"/>
        <v xml:space="preserve">NULL </v>
      </c>
      <c r="Q108" s="1" t="str">
        <f t="shared" si="11"/>
        <v/>
      </c>
      <c r="R108" s="1" t="str">
        <f t="shared" si="12"/>
        <v/>
      </c>
      <c r="S108" s="1" t="str">
        <f t="shared" si="13"/>
        <v/>
      </c>
      <c r="T108" s="1"/>
      <c r="U108" s="1"/>
      <c r="V108" s="1"/>
      <c r="W108" s="1"/>
      <c r="X108" s="1"/>
    </row>
    <row r="109" spans="1:24" x14ac:dyDescent="0.25">
      <c r="A109" s="46">
        <v>100</v>
      </c>
      <c r="B109" s="63"/>
      <c r="C109" s="80">
        <v>30</v>
      </c>
      <c r="D109" s="64" t="str">
        <f>LOOKUP(C109,AJUSTE!B:B,AJUSTE!C:C)</f>
        <v>Nenhuma definida</v>
      </c>
      <c r="E109" s="82"/>
      <c r="F109" s="91"/>
      <c r="G109" s="91"/>
      <c r="H109" s="92"/>
      <c r="I109" s="93"/>
      <c r="J109" s="65">
        <f t="shared" si="7"/>
        <v>0</v>
      </c>
      <c r="K109" s="64" t="str">
        <f t="shared" si="8"/>
        <v/>
      </c>
      <c r="L109" s="64" t="str">
        <f>IF(J109,LOOKUP(C109,AJUSTE!B:B,AJUSTE!E:E),"")</f>
        <v/>
      </c>
      <c r="M109" s="66" t="str">
        <f>IF(J109,LOOKUP(C109,AJUSTE!B:B,AJUSTE!D:D),"")</f>
        <v/>
      </c>
      <c r="O109" s="1" t="str">
        <f t="shared" si="9"/>
        <v/>
      </c>
      <c r="P109" s="1" t="str">
        <f t="shared" si="14"/>
        <v xml:space="preserve">NULL </v>
      </c>
      <c r="Q109" s="1" t="str">
        <f t="shared" si="11"/>
        <v/>
      </c>
      <c r="R109" s="1" t="str">
        <f t="shared" si="12"/>
        <v/>
      </c>
      <c r="S109" s="1" t="str">
        <f t="shared" si="13"/>
        <v/>
      </c>
      <c r="T109" s="1"/>
      <c r="U109" s="1"/>
      <c r="V109" s="1"/>
      <c r="W109" s="1"/>
      <c r="X109" s="1"/>
    </row>
  </sheetData>
  <mergeCells count="4">
    <mergeCell ref="F8:F9"/>
    <mergeCell ref="G8:G9"/>
    <mergeCell ref="H8:H9"/>
    <mergeCell ref="I8:I9"/>
  </mergeCells>
  <dataValidations count="3">
    <dataValidation allowBlank="1" showInputMessage="1" showErrorMessage="1" promptTitle="Nome da Tabela" prompt="Informe o nome no qual a  tabela será salva no MYSQL" sqref="D3"/>
    <dataValidation allowBlank="1" showInputMessage="1" showErrorMessage="1" promptTitle="Prefixo dos Campos" prompt="O prefixo indicado é o nome da tabela com &quot;_&quot; no final._x000a_Ex:_x000a_Tabela: Cadastro_x000a_Prefixo: Cadastro_" sqref="D4"/>
    <dataValidation allowBlank="1" showInputMessage="1" showErrorMessage="1" promptTitle="Nome da Classe" prompt="Informe qual nome a classe terá no Visual Studio (C#)._x000a__x000a_Importante:_x000a_No nome a ser informado aqui é o mesmo nome que deverá ser adotado ao criar a classe no visual studio." sqref="D5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Reiniciar">
          <controlPr defaultSize="0" autoLine="0" autoPict="0" r:id="rId5">
            <anchor moveWithCells="1">
              <from>
                <xdr:col>4</xdr:col>
                <xdr:colOff>1657350</xdr:colOff>
                <xdr:row>0</xdr:row>
                <xdr:rowOff>180975</xdr:rowOff>
              </from>
              <to>
                <xdr:col>4</xdr:col>
                <xdr:colOff>2952750</xdr:colOff>
                <xdr:row>2</xdr:row>
                <xdr:rowOff>76200</xdr:rowOff>
              </to>
            </anchor>
          </controlPr>
        </control>
      </mc:Choice>
      <mc:Fallback>
        <control shapeId="1025" r:id="rId4" name="btnReinici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theme="9" tint="0.59999389629810485"/>
  </sheetPr>
  <dimension ref="B1:I703"/>
  <sheetViews>
    <sheetView zoomScale="110" zoomScaleNormal="110" workbookViewId="0">
      <selection activeCell="H1" sqref="H1:I703"/>
    </sheetView>
  </sheetViews>
  <sheetFormatPr defaultRowHeight="15" x14ac:dyDescent="0.25"/>
  <cols>
    <col min="1" max="1" width="9.140625" style="27"/>
    <col min="2" max="2" width="15" style="98" hidden="1" customWidth="1"/>
    <col min="3" max="3" width="16.28515625" style="27" hidden="1" customWidth="1"/>
    <col min="4" max="4" width="13.140625" style="27" hidden="1" customWidth="1"/>
    <col min="5" max="7" width="9.140625" style="27" hidden="1" customWidth="1"/>
    <col min="8" max="8" width="10" style="100" hidden="1" customWidth="1"/>
    <col min="9" max="9" width="32.42578125" style="27" customWidth="1"/>
    <col min="10" max="16384" width="9.140625" style="27"/>
  </cols>
  <sheetData>
    <row r="1" spans="2:9" x14ac:dyDescent="0.25">
      <c r="H1" s="36" t="s">
        <v>105</v>
      </c>
      <c r="I1" s="35" t="s">
        <v>106</v>
      </c>
    </row>
    <row r="2" spans="2:9" x14ac:dyDescent="0.25">
      <c r="H2" s="104">
        <f>IF(I2&lt;&gt;"",1,0)</f>
        <v>1</v>
      </c>
      <c r="I2" s="3" t="s">
        <v>151</v>
      </c>
    </row>
    <row r="3" spans="2:9" x14ac:dyDescent="0.25">
      <c r="H3" s="104">
        <f>IF(I3&lt;&gt;"",1,0)</f>
        <v>1</v>
      </c>
      <c r="I3" s="3" t="str">
        <f>IF(ISTEXT(B8),CONCATENATE("    // ",B8),"")</f>
        <v xml:space="preserve">    // Código Interno (Chave Primária)</v>
      </c>
    </row>
    <row r="4" spans="2:9" x14ac:dyDescent="0.25">
      <c r="B4" s="101">
        <v>1</v>
      </c>
      <c r="C4" s="70" t="s">
        <v>107</v>
      </c>
      <c r="D4" s="71" t="str">
        <f>B6</f>
        <v>int</v>
      </c>
      <c r="E4" s="71" t="str">
        <f>LOWER(E5)</f>
        <v>e_id</v>
      </c>
      <c r="F4" s="71"/>
      <c r="G4" s="75" t="s">
        <v>72</v>
      </c>
      <c r="H4" s="104">
        <f t="shared" ref="H4:H67" si="0">IF(I4&lt;&gt;"",1,0)</f>
        <v>1</v>
      </c>
      <c r="I4" s="3" t="str">
        <f>IF(B7,CONCATENATE(C4,D4," ",E4,F4,G4),"")</f>
        <v xml:space="preserve">    private int e_id;</v>
      </c>
    </row>
    <row r="5" spans="2:9" x14ac:dyDescent="0.25">
      <c r="B5" s="102" t="str">
        <f>LOOKUP(B4,INICIO!A$10:A$109,INICIO!K$10:K$109)</f>
        <v>E_Id</v>
      </c>
      <c r="C5" s="72" t="s">
        <v>108</v>
      </c>
      <c r="D5" s="73" t="str">
        <f>B6</f>
        <v>int</v>
      </c>
      <c r="E5" s="73" t="str">
        <f>B5</f>
        <v>E_Id</v>
      </c>
      <c r="F5" s="73"/>
      <c r="G5" s="76"/>
      <c r="H5" s="104">
        <f t="shared" si="0"/>
        <v>1</v>
      </c>
      <c r="I5" s="3" t="str">
        <f>IF(B7,CONCATENATE(C5,D5," ",E5,F5,G5),"")</f>
        <v xml:space="preserve">    public int E_Id</v>
      </c>
    </row>
    <row r="6" spans="2:9" x14ac:dyDescent="0.25">
      <c r="B6" s="102" t="str">
        <f>LOOKUP(B4,INICIO!A$10:A$109,INICIO!L$10:L$109)</f>
        <v>int</v>
      </c>
      <c r="C6" s="72" t="s">
        <v>109</v>
      </c>
      <c r="D6" s="73"/>
      <c r="E6" s="73"/>
      <c r="F6" s="73"/>
      <c r="G6" s="76"/>
      <c r="H6" s="104">
        <f t="shared" si="0"/>
        <v>1</v>
      </c>
      <c r="I6" s="3" t="str">
        <f>IF(B7,CONCATENATE(C6,D6," ",E6,F6,G6),"")</f>
        <v xml:space="preserve">    { </v>
      </c>
    </row>
    <row r="7" spans="2:9" x14ac:dyDescent="0.25">
      <c r="B7" s="102">
        <f>LOOKUP(B4,INICIO!A$10:A$109,INICIO!J$10:J$109)</f>
        <v>1</v>
      </c>
      <c r="C7" s="72" t="s">
        <v>113</v>
      </c>
      <c r="D7" s="73" t="str">
        <f>CONCATENATE(E4,F4)</f>
        <v>e_id</v>
      </c>
      <c r="E7" s="73" t="s">
        <v>73</v>
      </c>
      <c r="F7" s="73"/>
      <c r="G7" s="76"/>
      <c r="H7" s="104">
        <f t="shared" si="0"/>
        <v>1</v>
      </c>
      <c r="I7" s="3" t="str">
        <f>IF(B7,CONCATENATE(C7,D7," ",E7,F7,G7),"")</f>
        <v xml:space="preserve">        get { return e_id ; }</v>
      </c>
    </row>
    <row r="8" spans="2:9" x14ac:dyDescent="0.25">
      <c r="B8" s="102" t="str">
        <f>LOOKUP(B4,INICIO!A$10:A$109,INICIO!E$10:E$109)</f>
        <v>Código Interno (Chave Primária)</v>
      </c>
      <c r="C8" s="72" t="s">
        <v>114</v>
      </c>
      <c r="D8" s="73" t="str">
        <f>CONCATENATE(E4,F4)</f>
        <v>e_id</v>
      </c>
      <c r="E8" s="73" t="s">
        <v>74</v>
      </c>
      <c r="F8" s="73"/>
      <c r="G8" s="76"/>
      <c r="H8" s="104">
        <f t="shared" si="0"/>
        <v>1</v>
      </c>
      <c r="I8" s="3" t="str">
        <f>IF(B7,CONCATENATE(C8,D8," ",E8,F8,G8),"")</f>
        <v xml:space="preserve">        set { e_id  = value; }</v>
      </c>
    </row>
    <row r="9" spans="2:9" x14ac:dyDescent="0.25">
      <c r="B9" s="103"/>
      <c r="C9" s="74" t="s">
        <v>112</v>
      </c>
      <c r="D9" s="40"/>
      <c r="E9" s="40"/>
      <c r="F9" s="40"/>
      <c r="G9" s="77"/>
      <c r="H9" s="104">
        <f t="shared" si="0"/>
        <v>1</v>
      </c>
      <c r="I9" s="3" t="str">
        <f>IF(B7,CONCATENATE(C9,D9," ",E9,F9,G9),"")</f>
        <v xml:space="preserve">    } </v>
      </c>
    </row>
    <row r="10" spans="2:9" hidden="1" x14ac:dyDescent="0.25">
      <c r="H10" s="104">
        <f t="shared" si="0"/>
        <v>0</v>
      </c>
      <c r="I10" s="3" t="str">
        <f t="shared" ref="I10" si="1">IF(ISTEXT(B15),CONCATENATE("    // ",B15),"")</f>
        <v/>
      </c>
    </row>
    <row r="11" spans="2:9" x14ac:dyDescent="0.25">
      <c r="B11" s="101">
        <v>2</v>
      </c>
      <c r="C11" s="70" t="s">
        <v>107</v>
      </c>
      <c r="D11" s="71" t="str">
        <f>B13</f>
        <v>string</v>
      </c>
      <c r="E11" s="71" t="str">
        <f>LOWER(E12)</f>
        <v>e_razaosocial</v>
      </c>
      <c r="F11" s="71"/>
      <c r="G11" s="75" t="s">
        <v>72</v>
      </c>
      <c r="H11" s="104">
        <f t="shared" si="0"/>
        <v>1</v>
      </c>
      <c r="I11" s="3" t="str">
        <f t="shared" ref="I11" si="2">IF(B14,CONCATENATE(C11,D11," ",E11,F11,G11),"")</f>
        <v xml:space="preserve">    private string e_razaosocial;</v>
      </c>
    </row>
    <row r="12" spans="2:9" x14ac:dyDescent="0.25">
      <c r="B12" s="102" t="str">
        <f>LOOKUP(B11,INICIO!A$10:A$109,INICIO!K$10:K$109)</f>
        <v>E_RazaoSocial</v>
      </c>
      <c r="C12" s="72" t="s">
        <v>108</v>
      </c>
      <c r="D12" s="73" t="str">
        <f>B13</f>
        <v>string</v>
      </c>
      <c r="E12" s="73" t="str">
        <f>B12</f>
        <v>E_RazaoSocial</v>
      </c>
      <c r="F12" s="73"/>
      <c r="G12" s="76"/>
      <c r="H12" s="104">
        <f t="shared" si="0"/>
        <v>1</v>
      </c>
      <c r="I12" s="3" t="str">
        <f t="shared" ref="I12" si="3">IF(B14,CONCATENATE(C12,D12," ",E12,F12,G12),"")</f>
        <v xml:space="preserve">    public string E_RazaoSocial</v>
      </c>
    </row>
    <row r="13" spans="2:9" x14ac:dyDescent="0.25">
      <c r="B13" s="102" t="str">
        <f>LOOKUP(B11,INICIO!A$10:A$109,INICIO!L$10:L$109)</f>
        <v>string</v>
      </c>
      <c r="C13" s="72" t="s">
        <v>109</v>
      </c>
      <c r="D13" s="73"/>
      <c r="E13" s="73"/>
      <c r="F13" s="73"/>
      <c r="G13" s="76"/>
      <c r="H13" s="104">
        <f t="shared" si="0"/>
        <v>1</v>
      </c>
      <c r="I13" s="3" t="str">
        <f t="shared" ref="I13" si="4">IF(B14,CONCATENATE(C13,D13," ",E13,F13,G13),"")</f>
        <v xml:space="preserve">    { </v>
      </c>
    </row>
    <row r="14" spans="2:9" x14ac:dyDescent="0.25">
      <c r="B14" s="102">
        <f>LOOKUP(B11,INICIO!A$10:A$109,INICIO!J$10:J$109)</f>
        <v>1</v>
      </c>
      <c r="C14" s="72" t="s">
        <v>110</v>
      </c>
      <c r="D14" s="73" t="str">
        <f>CONCATENATE(E11,F11)</f>
        <v>e_razaosocial</v>
      </c>
      <c r="E14" s="73" t="s">
        <v>73</v>
      </c>
      <c r="F14" s="73"/>
      <c r="G14" s="76"/>
      <c r="H14" s="104">
        <f t="shared" si="0"/>
        <v>1</v>
      </c>
      <c r="I14" s="3" t="str">
        <f t="shared" ref="I14" si="5">IF(B14,CONCATENATE(C14,D14," ",E14,F14,G14),"")</f>
        <v xml:space="preserve">       get { return e_razaosocial ; }</v>
      </c>
    </row>
    <row r="15" spans="2:9" x14ac:dyDescent="0.25">
      <c r="B15" s="102">
        <f>LOOKUP(B11,INICIO!A$10:A$109,INICIO!E$10:E$109)</f>
        <v>0</v>
      </c>
      <c r="C15" s="72" t="s">
        <v>111</v>
      </c>
      <c r="D15" s="73" t="str">
        <f>CONCATENATE(E11,F11)</f>
        <v>e_razaosocial</v>
      </c>
      <c r="E15" s="73" t="s">
        <v>74</v>
      </c>
      <c r="F15" s="73"/>
      <c r="G15" s="76"/>
      <c r="H15" s="104">
        <f t="shared" si="0"/>
        <v>1</v>
      </c>
      <c r="I15" s="3" t="str">
        <f t="shared" ref="I15" si="6">IF(B14,CONCATENATE(C15,D15," ",E15,F15,G15),"")</f>
        <v xml:space="preserve">       set { e_razaosocial  = value; }</v>
      </c>
    </row>
    <row r="16" spans="2:9" x14ac:dyDescent="0.25">
      <c r="B16" s="103"/>
      <c r="C16" s="74" t="s">
        <v>112</v>
      </c>
      <c r="D16" s="40"/>
      <c r="E16" s="40"/>
      <c r="F16" s="40"/>
      <c r="G16" s="77"/>
      <c r="H16" s="104">
        <f t="shared" si="0"/>
        <v>1</v>
      </c>
      <c r="I16" s="3" t="str">
        <f t="shared" ref="I16" si="7">IF(B14,CONCATENATE(C16,D16," ",E16,F16,G16),"")</f>
        <v xml:space="preserve">    } </v>
      </c>
    </row>
    <row r="17" spans="2:9" hidden="1" x14ac:dyDescent="0.25">
      <c r="H17" s="104">
        <f t="shared" si="0"/>
        <v>0</v>
      </c>
      <c r="I17" s="3" t="str">
        <f t="shared" ref="I17" si="8">IF(ISTEXT(B22),CONCATENATE("    // ",B22),"")</f>
        <v/>
      </c>
    </row>
    <row r="18" spans="2:9" x14ac:dyDescent="0.25">
      <c r="B18" s="101">
        <v>3</v>
      </c>
      <c r="C18" s="70" t="s">
        <v>107</v>
      </c>
      <c r="D18" s="71" t="str">
        <f>B20</f>
        <v>string</v>
      </c>
      <c r="E18" s="71" t="str">
        <f>LOWER(E19)</f>
        <v>e_cnpj</v>
      </c>
      <c r="F18" s="71"/>
      <c r="G18" s="75" t="s">
        <v>72</v>
      </c>
      <c r="H18" s="104">
        <f t="shared" si="0"/>
        <v>1</v>
      </c>
      <c r="I18" s="3" t="str">
        <f t="shared" ref="I18" si="9">IF(B21,CONCATENATE(C18,D18," ",E18,F18,G18),"")</f>
        <v xml:space="preserve">    private string e_cnpj;</v>
      </c>
    </row>
    <row r="19" spans="2:9" x14ac:dyDescent="0.25">
      <c r="B19" s="102" t="str">
        <f>LOOKUP(B18,INICIO!A$10:A$109,INICIO!K$10:K$109)</f>
        <v>E_CNPJ</v>
      </c>
      <c r="C19" s="72" t="s">
        <v>108</v>
      </c>
      <c r="D19" s="73" t="str">
        <f>B20</f>
        <v>string</v>
      </c>
      <c r="E19" s="73" t="str">
        <f>B19</f>
        <v>E_CNPJ</v>
      </c>
      <c r="F19" s="73"/>
      <c r="G19" s="76"/>
      <c r="H19" s="104">
        <f t="shared" si="0"/>
        <v>1</v>
      </c>
      <c r="I19" s="3" t="str">
        <f t="shared" ref="I19" si="10">IF(B21,CONCATENATE(C19,D19," ",E19,F19,G19),"")</f>
        <v xml:space="preserve">    public string E_CNPJ</v>
      </c>
    </row>
    <row r="20" spans="2:9" x14ac:dyDescent="0.25">
      <c r="B20" s="102" t="str">
        <f>LOOKUP(B18,INICIO!A$10:A$109,INICIO!L$10:L$109)</f>
        <v>string</v>
      </c>
      <c r="C20" s="72" t="s">
        <v>109</v>
      </c>
      <c r="D20" s="73"/>
      <c r="E20" s="73"/>
      <c r="F20" s="73"/>
      <c r="G20" s="76"/>
      <c r="H20" s="104">
        <f t="shared" si="0"/>
        <v>1</v>
      </c>
      <c r="I20" s="3" t="str">
        <f t="shared" ref="I20" si="11">IF(B21,CONCATENATE(C20,D20," ",E20,F20,G20),"")</f>
        <v xml:space="preserve">    { </v>
      </c>
    </row>
    <row r="21" spans="2:9" x14ac:dyDescent="0.25">
      <c r="B21" s="102">
        <f>LOOKUP(B18,INICIO!A$10:A$109,INICIO!J$10:J$109)</f>
        <v>1</v>
      </c>
      <c r="C21" s="72" t="s">
        <v>110</v>
      </c>
      <c r="D21" s="73" t="str">
        <f>CONCATENATE(E18,F18)</f>
        <v>e_cnpj</v>
      </c>
      <c r="E21" s="73" t="s">
        <v>73</v>
      </c>
      <c r="F21" s="73"/>
      <c r="G21" s="76"/>
      <c r="H21" s="104">
        <f t="shared" si="0"/>
        <v>1</v>
      </c>
      <c r="I21" s="3" t="str">
        <f t="shared" ref="I21" si="12">IF(B21,CONCATENATE(C21,D21," ",E21,F21,G21),"")</f>
        <v xml:space="preserve">       get { return e_cnpj ; }</v>
      </c>
    </row>
    <row r="22" spans="2:9" x14ac:dyDescent="0.25">
      <c r="B22" s="102">
        <f>LOOKUP(B18,INICIO!A$10:A$109,INICIO!E$10:E$109)</f>
        <v>0</v>
      </c>
      <c r="C22" s="72" t="s">
        <v>111</v>
      </c>
      <c r="D22" s="73" t="str">
        <f>CONCATENATE(E18,F18)</f>
        <v>e_cnpj</v>
      </c>
      <c r="E22" s="73" t="s">
        <v>74</v>
      </c>
      <c r="F22" s="73"/>
      <c r="G22" s="76"/>
      <c r="H22" s="104">
        <f t="shared" si="0"/>
        <v>1</v>
      </c>
      <c r="I22" s="3" t="str">
        <f t="shared" ref="I22" si="13">IF(B21,CONCATENATE(C22,D22," ",E22,F22,G22),"")</f>
        <v xml:space="preserve">       set { e_cnpj  = value; }</v>
      </c>
    </row>
    <row r="23" spans="2:9" x14ac:dyDescent="0.25">
      <c r="B23" s="103"/>
      <c r="C23" s="74" t="s">
        <v>112</v>
      </c>
      <c r="D23" s="40"/>
      <c r="E23" s="40"/>
      <c r="F23" s="40"/>
      <c r="G23" s="77"/>
      <c r="H23" s="104">
        <f t="shared" si="0"/>
        <v>1</v>
      </c>
      <c r="I23" s="3" t="str">
        <f t="shared" ref="I23" si="14">IF(B21,CONCATENATE(C23,D23," ",E23,F23,G23),"")</f>
        <v xml:space="preserve">    } </v>
      </c>
    </row>
    <row r="24" spans="2:9" hidden="1" x14ac:dyDescent="0.25">
      <c r="H24" s="104">
        <f t="shared" si="0"/>
        <v>0</v>
      </c>
      <c r="I24" s="3" t="str">
        <f t="shared" ref="I24" si="15">IF(ISTEXT(B29),CONCATENATE("    // ",B29),"")</f>
        <v/>
      </c>
    </row>
    <row r="25" spans="2:9" x14ac:dyDescent="0.25">
      <c r="B25" s="101">
        <v>4</v>
      </c>
      <c r="C25" s="70" t="s">
        <v>107</v>
      </c>
      <c r="D25" s="71" t="str">
        <f>B27</f>
        <v>string</v>
      </c>
      <c r="E25" s="71" t="str">
        <f>LOWER(E26)</f>
        <v>e_ie</v>
      </c>
      <c r="F25" s="71"/>
      <c r="G25" s="75" t="s">
        <v>72</v>
      </c>
      <c r="H25" s="104">
        <f t="shared" si="0"/>
        <v>1</v>
      </c>
      <c r="I25" s="3" t="str">
        <f t="shared" ref="I25" si="16">IF(B28,CONCATENATE(C25,D25," ",E25,F25,G25),"")</f>
        <v xml:space="preserve">    private string e_ie;</v>
      </c>
    </row>
    <row r="26" spans="2:9" x14ac:dyDescent="0.25">
      <c r="B26" s="102" t="str">
        <f>LOOKUP(B25,INICIO!A$10:A$109,INICIO!K$10:K$109)</f>
        <v>E_IE</v>
      </c>
      <c r="C26" s="72" t="s">
        <v>108</v>
      </c>
      <c r="D26" s="73" t="str">
        <f>B27</f>
        <v>string</v>
      </c>
      <c r="E26" s="73" t="str">
        <f>B26</f>
        <v>E_IE</v>
      </c>
      <c r="F26" s="73"/>
      <c r="G26" s="76"/>
      <c r="H26" s="104">
        <f t="shared" si="0"/>
        <v>1</v>
      </c>
      <c r="I26" s="3" t="str">
        <f t="shared" ref="I26" si="17">IF(B28,CONCATENATE(C26,D26," ",E26,F26,G26),"")</f>
        <v xml:space="preserve">    public string E_IE</v>
      </c>
    </row>
    <row r="27" spans="2:9" x14ac:dyDescent="0.25">
      <c r="B27" s="102" t="str">
        <f>LOOKUP(B25,INICIO!A$10:A$109,INICIO!L$10:L$109)</f>
        <v>string</v>
      </c>
      <c r="C27" s="72" t="s">
        <v>109</v>
      </c>
      <c r="D27" s="73"/>
      <c r="E27" s="73"/>
      <c r="F27" s="73"/>
      <c r="G27" s="76"/>
      <c r="H27" s="104">
        <f t="shared" si="0"/>
        <v>1</v>
      </c>
      <c r="I27" s="3" t="str">
        <f t="shared" ref="I27" si="18">IF(B28,CONCATENATE(C27,D27," ",E27,F27,G27),"")</f>
        <v xml:space="preserve">    { </v>
      </c>
    </row>
    <row r="28" spans="2:9" x14ac:dyDescent="0.25">
      <c r="B28" s="102">
        <f>LOOKUP(B25,INICIO!A$10:A$109,INICIO!J$10:J$109)</f>
        <v>1</v>
      </c>
      <c r="C28" s="72" t="s">
        <v>110</v>
      </c>
      <c r="D28" s="73" t="str">
        <f>CONCATENATE(E25,F25)</f>
        <v>e_ie</v>
      </c>
      <c r="E28" s="73" t="s">
        <v>73</v>
      </c>
      <c r="F28" s="73"/>
      <c r="G28" s="76"/>
      <c r="H28" s="104">
        <f t="shared" si="0"/>
        <v>1</v>
      </c>
      <c r="I28" s="3" t="str">
        <f t="shared" ref="I28" si="19">IF(B28,CONCATENATE(C28,D28," ",E28,F28,G28),"")</f>
        <v xml:space="preserve">       get { return e_ie ; }</v>
      </c>
    </row>
    <row r="29" spans="2:9" x14ac:dyDescent="0.25">
      <c r="B29" s="102">
        <f>LOOKUP(B25,INICIO!A$10:A$109,INICIO!E$10:E$109)</f>
        <v>0</v>
      </c>
      <c r="C29" s="72" t="s">
        <v>111</v>
      </c>
      <c r="D29" s="73" t="str">
        <f>CONCATENATE(E25,F25)</f>
        <v>e_ie</v>
      </c>
      <c r="E29" s="73" t="s">
        <v>74</v>
      </c>
      <c r="F29" s="73"/>
      <c r="G29" s="76"/>
      <c r="H29" s="104">
        <f t="shared" si="0"/>
        <v>1</v>
      </c>
      <c r="I29" s="3" t="str">
        <f t="shared" ref="I29" si="20">IF(B28,CONCATENATE(C29,D29," ",E29,F29,G29),"")</f>
        <v xml:space="preserve">       set { e_ie  = value; }</v>
      </c>
    </row>
    <row r="30" spans="2:9" x14ac:dyDescent="0.25">
      <c r="B30" s="103"/>
      <c r="C30" s="74" t="s">
        <v>112</v>
      </c>
      <c r="D30" s="40"/>
      <c r="E30" s="40"/>
      <c r="F30" s="40"/>
      <c r="G30" s="77"/>
      <c r="H30" s="104">
        <f t="shared" si="0"/>
        <v>1</v>
      </c>
      <c r="I30" s="3" t="str">
        <f t="shared" ref="I30" si="21">IF(B28,CONCATENATE(C30,D30," ",E30,F30,G30),"")</f>
        <v xml:space="preserve">    } </v>
      </c>
    </row>
    <row r="31" spans="2:9" hidden="1" x14ac:dyDescent="0.25">
      <c r="H31" s="104">
        <f t="shared" si="0"/>
        <v>0</v>
      </c>
      <c r="I31" s="3" t="str">
        <f t="shared" ref="I31" si="22">IF(ISTEXT(B36),CONCATENATE("    // ",B36),"")</f>
        <v/>
      </c>
    </row>
    <row r="32" spans="2:9" x14ac:dyDescent="0.25">
      <c r="B32" s="101">
        <v>5</v>
      </c>
      <c r="C32" s="70" t="s">
        <v>107</v>
      </c>
      <c r="D32" s="71" t="str">
        <f>B34</f>
        <v>string</v>
      </c>
      <c r="E32" s="71" t="str">
        <f>LOWER(E33)</f>
        <v>e_endereco</v>
      </c>
      <c r="F32" s="71"/>
      <c r="G32" s="75" t="s">
        <v>72</v>
      </c>
      <c r="H32" s="104">
        <f t="shared" si="0"/>
        <v>1</v>
      </c>
      <c r="I32" s="3" t="str">
        <f t="shared" ref="I32" si="23">IF(B35,CONCATENATE(C32,D32," ",E32,F32,G32),"")</f>
        <v xml:space="preserve">    private string e_endereco;</v>
      </c>
    </row>
    <row r="33" spans="2:9" x14ac:dyDescent="0.25">
      <c r="B33" s="102" t="str">
        <f>LOOKUP(B32,INICIO!A$10:A$109,INICIO!K$10:K$109)</f>
        <v>E_Endereco</v>
      </c>
      <c r="C33" s="72" t="s">
        <v>108</v>
      </c>
      <c r="D33" s="73" t="str">
        <f>B34</f>
        <v>string</v>
      </c>
      <c r="E33" s="73" t="str">
        <f>B33</f>
        <v>E_Endereco</v>
      </c>
      <c r="F33" s="73"/>
      <c r="G33" s="76"/>
      <c r="H33" s="104">
        <f t="shared" si="0"/>
        <v>1</v>
      </c>
      <c r="I33" s="3" t="str">
        <f t="shared" ref="I33" si="24">IF(B35,CONCATENATE(C33,D33," ",E33,F33,G33),"")</f>
        <v xml:space="preserve">    public string E_Endereco</v>
      </c>
    </row>
    <row r="34" spans="2:9" x14ac:dyDescent="0.25">
      <c r="B34" s="102" t="str">
        <f>LOOKUP(B32,INICIO!A$10:A$109,INICIO!L$10:L$109)</f>
        <v>string</v>
      </c>
      <c r="C34" s="72" t="s">
        <v>109</v>
      </c>
      <c r="D34" s="73"/>
      <c r="E34" s="73"/>
      <c r="F34" s="73"/>
      <c r="G34" s="76"/>
      <c r="H34" s="104">
        <f t="shared" si="0"/>
        <v>1</v>
      </c>
      <c r="I34" s="3" t="str">
        <f t="shared" ref="I34" si="25">IF(B35,CONCATENATE(C34,D34," ",E34,F34,G34),"")</f>
        <v xml:space="preserve">    { </v>
      </c>
    </row>
    <row r="35" spans="2:9" x14ac:dyDescent="0.25">
      <c r="B35" s="102">
        <f>LOOKUP(B32,INICIO!A$10:A$109,INICIO!J$10:J$109)</f>
        <v>1</v>
      </c>
      <c r="C35" s="72" t="s">
        <v>110</v>
      </c>
      <c r="D35" s="73" t="str">
        <f>CONCATENATE(E32,F32)</f>
        <v>e_endereco</v>
      </c>
      <c r="E35" s="73" t="s">
        <v>73</v>
      </c>
      <c r="F35" s="73"/>
      <c r="G35" s="76"/>
      <c r="H35" s="104">
        <f t="shared" si="0"/>
        <v>1</v>
      </c>
      <c r="I35" s="3" t="str">
        <f t="shared" ref="I35" si="26">IF(B35,CONCATENATE(C35,D35," ",E35,F35,G35),"")</f>
        <v xml:space="preserve">       get { return e_endereco ; }</v>
      </c>
    </row>
    <row r="36" spans="2:9" x14ac:dyDescent="0.25">
      <c r="B36" s="102">
        <f>LOOKUP(B32,INICIO!A$10:A$109,INICIO!E$10:E$109)</f>
        <v>0</v>
      </c>
      <c r="C36" s="72" t="s">
        <v>111</v>
      </c>
      <c r="D36" s="73" t="str">
        <f>CONCATENATE(E32,F32)</f>
        <v>e_endereco</v>
      </c>
      <c r="E36" s="73" t="s">
        <v>74</v>
      </c>
      <c r="F36" s="73"/>
      <c r="G36" s="76"/>
      <c r="H36" s="104">
        <f t="shared" si="0"/>
        <v>1</v>
      </c>
      <c r="I36" s="3" t="str">
        <f t="shared" ref="I36" si="27">IF(B35,CONCATENATE(C36,D36," ",E36,F36,G36),"")</f>
        <v xml:space="preserve">       set { e_endereco  = value; }</v>
      </c>
    </row>
    <row r="37" spans="2:9" x14ac:dyDescent="0.25">
      <c r="B37" s="103"/>
      <c r="C37" s="74" t="s">
        <v>112</v>
      </c>
      <c r="D37" s="40"/>
      <c r="E37" s="40"/>
      <c r="F37" s="40"/>
      <c r="G37" s="77"/>
      <c r="H37" s="104">
        <f t="shared" si="0"/>
        <v>1</v>
      </c>
      <c r="I37" s="3" t="str">
        <f t="shared" ref="I37" si="28">IF(B35,CONCATENATE(C37,D37," ",E37,F37,G37),"")</f>
        <v xml:space="preserve">    } </v>
      </c>
    </row>
    <row r="38" spans="2:9" hidden="1" x14ac:dyDescent="0.25">
      <c r="H38" s="104">
        <f t="shared" si="0"/>
        <v>0</v>
      </c>
      <c r="I38" s="3" t="str">
        <f t="shared" ref="I38" si="29">IF(ISTEXT(B43),CONCATENATE("    // ",B43),"")</f>
        <v/>
      </c>
    </row>
    <row r="39" spans="2:9" x14ac:dyDescent="0.25">
      <c r="B39" s="101">
        <v>6</v>
      </c>
      <c r="C39" s="70" t="s">
        <v>107</v>
      </c>
      <c r="D39" s="71" t="str">
        <f>B41</f>
        <v>string</v>
      </c>
      <c r="E39" s="71" t="str">
        <f>LOWER(E40)</f>
        <v>e_complemento</v>
      </c>
      <c r="F39" s="71"/>
      <c r="G39" s="75" t="s">
        <v>72</v>
      </c>
      <c r="H39" s="104">
        <f t="shared" si="0"/>
        <v>1</v>
      </c>
      <c r="I39" s="3" t="str">
        <f t="shared" ref="I39" si="30">IF(B42,CONCATENATE(C39,D39," ",E39,F39,G39),"")</f>
        <v xml:space="preserve">    private string e_complemento;</v>
      </c>
    </row>
    <row r="40" spans="2:9" x14ac:dyDescent="0.25">
      <c r="B40" s="102" t="str">
        <f>LOOKUP(B39,INICIO!A$10:A$109,INICIO!K$10:K$109)</f>
        <v>E_Complemento</v>
      </c>
      <c r="C40" s="72" t="s">
        <v>108</v>
      </c>
      <c r="D40" s="73" t="str">
        <f>B41</f>
        <v>string</v>
      </c>
      <c r="E40" s="73" t="str">
        <f>B40</f>
        <v>E_Complemento</v>
      </c>
      <c r="F40" s="73"/>
      <c r="G40" s="76"/>
      <c r="H40" s="104">
        <f t="shared" si="0"/>
        <v>1</v>
      </c>
      <c r="I40" s="3" t="str">
        <f t="shared" ref="I40" si="31">IF(B42,CONCATENATE(C40,D40," ",E40,F40,G40),"")</f>
        <v xml:space="preserve">    public string E_Complemento</v>
      </c>
    </row>
    <row r="41" spans="2:9" x14ac:dyDescent="0.25">
      <c r="B41" s="102" t="str">
        <f>LOOKUP(B39,INICIO!A$10:A$109,INICIO!L$10:L$109)</f>
        <v>string</v>
      </c>
      <c r="C41" s="72" t="s">
        <v>109</v>
      </c>
      <c r="D41" s="73"/>
      <c r="E41" s="73"/>
      <c r="F41" s="73"/>
      <c r="G41" s="76"/>
      <c r="H41" s="104">
        <f t="shared" si="0"/>
        <v>1</v>
      </c>
      <c r="I41" s="3" t="str">
        <f t="shared" ref="I41" si="32">IF(B42,CONCATENATE(C41,D41," ",E41,F41,G41),"")</f>
        <v xml:space="preserve">    { </v>
      </c>
    </row>
    <row r="42" spans="2:9" x14ac:dyDescent="0.25">
      <c r="B42" s="102">
        <f>LOOKUP(B39,INICIO!A$10:A$109,INICIO!J$10:J$109)</f>
        <v>1</v>
      </c>
      <c r="C42" s="72" t="s">
        <v>110</v>
      </c>
      <c r="D42" s="73" t="str">
        <f>CONCATENATE(E39,F39)</f>
        <v>e_complemento</v>
      </c>
      <c r="E42" s="73" t="s">
        <v>73</v>
      </c>
      <c r="F42" s="73"/>
      <c r="G42" s="76"/>
      <c r="H42" s="104">
        <f t="shared" si="0"/>
        <v>1</v>
      </c>
      <c r="I42" s="3" t="str">
        <f t="shared" ref="I42" si="33">IF(B42,CONCATENATE(C42,D42," ",E42,F42,G42),"")</f>
        <v xml:space="preserve">       get { return e_complemento ; }</v>
      </c>
    </row>
    <row r="43" spans="2:9" x14ac:dyDescent="0.25">
      <c r="B43" s="102">
        <f>LOOKUP(B39,INICIO!A$10:A$109,INICIO!E$10:E$109)</f>
        <v>0</v>
      </c>
      <c r="C43" s="72" t="s">
        <v>111</v>
      </c>
      <c r="D43" s="73" t="str">
        <f>CONCATENATE(E39,F39)</f>
        <v>e_complemento</v>
      </c>
      <c r="E43" s="73" t="s">
        <v>74</v>
      </c>
      <c r="F43" s="73"/>
      <c r="G43" s="76"/>
      <c r="H43" s="104">
        <f t="shared" si="0"/>
        <v>1</v>
      </c>
      <c r="I43" s="3" t="str">
        <f t="shared" ref="I43" si="34">IF(B42,CONCATENATE(C43,D43," ",E43,F43,G43),"")</f>
        <v xml:space="preserve">       set { e_complemento  = value; }</v>
      </c>
    </row>
    <row r="44" spans="2:9" x14ac:dyDescent="0.25">
      <c r="B44" s="103"/>
      <c r="C44" s="74" t="s">
        <v>112</v>
      </c>
      <c r="D44" s="40"/>
      <c r="E44" s="40"/>
      <c r="F44" s="40"/>
      <c r="G44" s="77"/>
      <c r="H44" s="104">
        <f t="shared" si="0"/>
        <v>1</v>
      </c>
      <c r="I44" s="3" t="str">
        <f t="shared" ref="I44" si="35">IF(B42,CONCATENATE(C44,D44," ",E44,F44,G44),"")</f>
        <v xml:space="preserve">    } </v>
      </c>
    </row>
    <row r="45" spans="2:9" hidden="1" x14ac:dyDescent="0.25">
      <c r="H45" s="104">
        <f t="shared" si="0"/>
        <v>0</v>
      </c>
      <c r="I45" s="3" t="str">
        <f t="shared" ref="I45" si="36">IF(ISTEXT(B50),CONCATENATE("    // ",B50),"")</f>
        <v/>
      </c>
    </row>
    <row r="46" spans="2:9" x14ac:dyDescent="0.25">
      <c r="B46" s="101">
        <v>7</v>
      </c>
      <c r="C46" s="70" t="s">
        <v>107</v>
      </c>
      <c r="D46" s="71" t="str">
        <f>B48</f>
        <v>string</v>
      </c>
      <c r="E46" s="71" t="str">
        <f>LOWER(E47)</f>
        <v>e_estado</v>
      </c>
      <c r="F46" s="71"/>
      <c r="G46" s="75" t="s">
        <v>72</v>
      </c>
      <c r="H46" s="104">
        <f t="shared" si="0"/>
        <v>1</v>
      </c>
      <c r="I46" s="3" t="str">
        <f t="shared" ref="I46" si="37">IF(B49,CONCATENATE(C46,D46," ",E46,F46,G46),"")</f>
        <v xml:space="preserve">    private string e_estado;</v>
      </c>
    </row>
    <row r="47" spans="2:9" x14ac:dyDescent="0.25">
      <c r="B47" s="102" t="str">
        <f>LOOKUP(B46,INICIO!A$10:A$109,INICIO!K$10:K$109)</f>
        <v>E_Estado</v>
      </c>
      <c r="C47" s="72" t="s">
        <v>108</v>
      </c>
      <c r="D47" s="73" t="str">
        <f>B48</f>
        <v>string</v>
      </c>
      <c r="E47" s="73" t="str">
        <f>B47</f>
        <v>E_Estado</v>
      </c>
      <c r="F47" s="73"/>
      <c r="G47" s="76"/>
      <c r="H47" s="104">
        <f t="shared" si="0"/>
        <v>1</v>
      </c>
      <c r="I47" s="3" t="str">
        <f t="shared" ref="I47" si="38">IF(B49,CONCATENATE(C47,D47," ",E47,F47,G47),"")</f>
        <v xml:space="preserve">    public string E_Estado</v>
      </c>
    </row>
    <row r="48" spans="2:9" x14ac:dyDescent="0.25">
      <c r="B48" s="102" t="str">
        <f>LOOKUP(B46,INICIO!A$10:A$109,INICIO!L$10:L$109)</f>
        <v>string</v>
      </c>
      <c r="C48" s="72" t="s">
        <v>109</v>
      </c>
      <c r="D48" s="73"/>
      <c r="E48" s="73"/>
      <c r="F48" s="73"/>
      <c r="G48" s="76"/>
      <c r="H48" s="104">
        <f t="shared" si="0"/>
        <v>1</v>
      </c>
      <c r="I48" s="3" t="str">
        <f t="shared" ref="I48" si="39">IF(B49,CONCATENATE(C48,D48," ",E48,F48,G48),"")</f>
        <v xml:space="preserve">    { </v>
      </c>
    </row>
    <row r="49" spans="2:9" x14ac:dyDescent="0.25">
      <c r="B49" s="102">
        <f>LOOKUP(B46,INICIO!A$10:A$109,INICIO!J$10:J$109)</f>
        <v>1</v>
      </c>
      <c r="C49" s="72" t="s">
        <v>110</v>
      </c>
      <c r="D49" s="73" t="str">
        <f>CONCATENATE(E46,F46)</f>
        <v>e_estado</v>
      </c>
      <c r="E49" s="73" t="s">
        <v>73</v>
      </c>
      <c r="F49" s="73"/>
      <c r="G49" s="76"/>
      <c r="H49" s="104">
        <f t="shared" si="0"/>
        <v>1</v>
      </c>
      <c r="I49" s="3" t="str">
        <f t="shared" ref="I49" si="40">IF(B49,CONCATENATE(C49,D49," ",E49,F49,G49),"")</f>
        <v xml:space="preserve">       get { return e_estado ; }</v>
      </c>
    </row>
    <row r="50" spans="2:9" x14ac:dyDescent="0.25">
      <c r="B50" s="102">
        <f>LOOKUP(B46,INICIO!A$10:A$109,INICIO!E$10:E$109)</f>
        <v>0</v>
      </c>
      <c r="C50" s="72" t="s">
        <v>111</v>
      </c>
      <c r="D50" s="73" t="str">
        <f>CONCATENATE(E46,F46)</f>
        <v>e_estado</v>
      </c>
      <c r="E50" s="73" t="s">
        <v>74</v>
      </c>
      <c r="F50" s="73"/>
      <c r="G50" s="76"/>
      <c r="H50" s="104">
        <f t="shared" si="0"/>
        <v>1</v>
      </c>
      <c r="I50" s="3" t="str">
        <f t="shared" ref="I50" si="41">IF(B49,CONCATENATE(C50,D50," ",E50,F50,G50),"")</f>
        <v xml:space="preserve">       set { e_estado  = value; }</v>
      </c>
    </row>
    <row r="51" spans="2:9" x14ac:dyDescent="0.25">
      <c r="B51" s="103"/>
      <c r="C51" s="74" t="s">
        <v>112</v>
      </c>
      <c r="D51" s="40"/>
      <c r="E51" s="40"/>
      <c r="F51" s="40"/>
      <c r="G51" s="77"/>
      <c r="H51" s="104">
        <f t="shared" si="0"/>
        <v>1</v>
      </c>
      <c r="I51" s="3" t="str">
        <f t="shared" ref="I51" si="42">IF(B49,CONCATENATE(C51,D51," ",E51,F51,G51),"")</f>
        <v xml:space="preserve">    } </v>
      </c>
    </row>
    <row r="52" spans="2:9" hidden="1" x14ac:dyDescent="0.25">
      <c r="H52" s="104">
        <f t="shared" si="0"/>
        <v>0</v>
      </c>
      <c r="I52" s="3" t="str">
        <f t="shared" ref="I52" si="43">IF(ISTEXT(B57),CONCATENATE("    // ",B57),"")</f>
        <v/>
      </c>
    </row>
    <row r="53" spans="2:9" x14ac:dyDescent="0.25">
      <c r="B53" s="101">
        <v>8</v>
      </c>
      <c r="C53" s="70" t="s">
        <v>107</v>
      </c>
      <c r="D53" s="71" t="str">
        <f>B55</f>
        <v>string</v>
      </c>
      <c r="E53" s="71" t="str">
        <f>LOWER(E54)</f>
        <v>e_telefone</v>
      </c>
      <c r="F53" s="71"/>
      <c r="G53" s="75" t="s">
        <v>72</v>
      </c>
      <c r="H53" s="104">
        <f t="shared" si="0"/>
        <v>1</v>
      </c>
      <c r="I53" s="3" t="str">
        <f t="shared" ref="I53" si="44">IF(B56,CONCATENATE(C53,D53," ",E53,F53,G53),"")</f>
        <v xml:space="preserve">    private string e_telefone;</v>
      </c>
    </row>
    <row r="54" spans="2:9" x14ac:dyDescent="0.25">
      <c r="B54" s="102" t="str">
        <f>LOOKUP(B53,INICIO!A$10:A$109,INICIO!K$10:K$109)</f>
        <v>E_Telefone</v>
      </c>
      <c r="C54" s="72" t="s">
        <v>108</v>
      </c>
      <c r="D54" s="73" t="str">
        <f>B55</f>
        <v>string</v>
      </c>
      <c r="E54" s="73" t="str">
        <f>B54</f>
        <v>E_Telefone</v>
      </c>
      <c r="F54" s="73"/>
      <c r="G54" s="76"/>
      <c r="H54" s="104">
        <f t="shared" si="0"/>
        <v>1</v>
      </c>
      <c r="I54" s="3" t="str">
        <f t="shared" ref="I54" si="45">IF(B56,CONCATENATE(C54,D54," ",E54,F54,G54),"")</f>
        <v xml:space="preserve">    public string E_Telefone</v>
      </c>
    </row>
    <row r="55" spans="2:9" x14ac:dyDescent="0.25">
      <c r="B55" s="102" t="str">
        <f>LOOKUP(B53,INICIO!A$10:A$109,INICIO!L$10:L$109)</f>
        <v>string</v>
      </c>
      <c r="C55" s="72" t="s">
        <v>109</v>
      </c>
      <c r="D55" s="73"/>
      <c r="E55" s="73"/>
      <c r="F55" s="73"/>
      <c r="G55" s="76"/>
      <c r="H55" s="104">
        <f t="shared" si="0"/>
        <v>1</v>
      </c>
      <c r="I55" s="3" t="str">
        <f t="shared" ref="I55" si="46">IF(B56,CONCATENATE(C55,D55," ",E55,F55,G55),"")</f>
        <v xml:space="preserve">    { </v>
      </c>
    </row>
    <row r="56" spans="2:9" x14ac:dyDescent="0.25">
      <c r="B56" s="102">
        <f>LOOKUP(B53,INICIO!A$10:A$109,INICIO!J$10:J$109)</f>
        <v>1</v>
      </c>
      <c r="C56" s="72" t="s">
        <v>110</v>
      </c>
      <c r="D56" s="73" t="str">
        <f>CONCATENATE(E53,F53)</f>
        <v>e_telefone</v>
      </c>
      <c r="E56" s="73" t="s">
        <v>73</v>
      </c>
      <c r="F56" s="73"/>
      <c r="G56" s="76"/>
      <c r="H56" s="104">
        <f t="shared" si="0"/>
        <v>1</v>
      </c>
      <c r="I56" s="3" t="str">
        <f t="shared" ref="I56" si="47">IF(B56,CONCATENATE(C56,D56," ",E56,F56,G56),"")</f>
        <v xml:space="preserve">       get { return e_telefone ; }</v>
      </c>
    </row>
    <row r="57" spans="2:9" x14ac:dyDescent="0.25">
      <c r="B57" s="102">
        <f>LOOKUP(B53,INICIO!A$10:A$109,INICIO!E$10:E$109)</f>
        <v>0</v>
      </c>
      <c r="C57" s="72" t="s">
        <v>111</v>
      </c>
      <c r="D57" s="73" t="str">
        <f>CONCATENATE(E53,F53)</f>
        <v>e_telefone</v>
      </c>
      <c r="E57" s="73" t="s">
        <v>74</v>
      </c>
      <c r="F57" s="73"/>
      <c r="G57" s="76"/>
      <c r="H57" s="104">
        <f t="shared" si="0"/>
        <v>1</v>
      </c>
      <c r="I57" s="3" t="str">
        <f t="shared" ref="I57" si="48">IF(B56,CONCATENATE(C57,D57," ",E57,F57,G57),"")</f>
        <v xml:space="preserve">       set { e_telefone  = value; }</v>
      </c>
    </row>
    <row r="58" spans="2:9" x14ac:dyDescent="0.25">
      <c r="B58" s="103"/>
      <c r="C58" s="74" t="s">
        <v>112</v>
      </c>
      <c r="D58" s="40"/>
      <c r="E58" s="40"/>
      <c r="F58" s="40"/>
      <c r="G58" s="77"/>
      <c r="H58" s="104">
        <f t="shared" si="0"/>
        <v>1</v>
      </c>
      <c r="I58" s="3" t="str">
        <f t="shared" ref="I58" si="49">IF(B56,CONCATENATE(C58,D58," ",E58,F58,G58),"")</f>
        <v xml:space="preserve">    } </v>
      </c>
    </row>
    <row r="59" spans="2:9" hidden="1" x14ac:dyDescent="0.25">
      <c r="H59" s="104">
        <f t="shared" si="0"/>
        <v>0</v>
      </c>
      <c r="I59" s="3" t="str">
        <f t="shared" ref="I59" si="50">IF(ISTEXT(B64),CONCATENATE("    // ",B64),"")</f>
        <v/>
      </c>
    </row>
    <row r="60" spans="2:9" x14ac:dyDescent="0.25">
      <c r="B60" s="101">
        <v>9</v>
      </c>
      <c r="C60" s="70" t="s">
        <v>107</v>
      </c>
      <c r="D60" s="71" t="str">
        <f>B62</f>
        <v>string</v>
      </c>
      <c r="E60" s="71" t="str">
        <f>LOWER(E61)</f>
        <v>e_email</v>
      </c>
      <c r="F60" s="71"/>
      <c r="G60" s="75" t="s">
        <v>72</v>
      </c>
      <c r="H60" s="104">
        <f t="shared" si="0"/>
        <v>1</v>
      </c>
      <c r="I60" s="3" t="str">
        <f t="shared" ref="I60" si="51">IF(B63,CONCATENATE(C60,D60," ",E60,F60,G60),"")</f>
        <v xml:space="preserve">    private string e_email;</v>
      </c>
    </row>
    <row r="61" spans="2:9" x14ac:dyDescent="0.25">
      <c r="B61" s="102" t="str">
        <f>LOOKUP(B60,INICIO!A$10:A$109,INICIO!K$10:K$109)</f>
        <v>E_Email</v>
      </c>
      <c r="C61" s="72" t="s">
        <v>108</v>
      </c>
      <c r="D61" s="73" t="str">
        <f>B62</f>
        <v>string</v>
      </c>
      <c r="E61" s="73" t="str">
        <f>B61</f>
        <v>E_Email</v>
      </c>
      <c r="F61" s="73"/>
      <c r="G61" s="76"/>
      <c r="H61" s="104">
        <f t="shared" si="0"/>
        <v>1</v>
      </c>
      <c r="I61" s="3" t="str">
        <f t="shared" ref="I61" si="52">IF(B63,CONCATENATE(C61,D61," ",E61,F61,G61),"")</f>
        <v xml:space="preserve">    public string E_Email</v>
      </c>
    </row>
    <row r="62" spans="2:9" x14ac:dyDescent="0.25">
      <c r="B62" s="102" t="str">
        <f>LOOKUP(B60,INICIO!A$10:A$109,INICIO!L$10:L$109)</f>
        <v>string</v>
      </c>
      <c r="C62" s="72" t="s">
        <v>109</v>
      </c>
      <c r="D62" s="73"/>
      <c r="E62" s="73"/>
      <c r="F62" s="73"/>
      <c r="G62" s="76"/>
      <c r="H62" s="104">
        <f t="shared" si="0"/>
        <v>1</v>
      </c>
      <c r="I62" s="3" t="str">
        <f t="shared" ref="I62" si="53">IF(B63,CONCATENATE(C62,D62," ",E62,F62,G62),"")</f>
        <v xml:space="preserve">    { </v>
      </c>
    </row>
    <row r="63" spans="2:9" x14ac:dyDescent="0.25">
      <c r="B63" s="102">
        <f>LOOKUP(B60,INICIO!A$10:A$109,INICIO!J$10:J$109)</f>
        <v>1</v>
      </c>
      <c r="C63" s="72" t="s">
        <v>110</v>
      </c>
      <c r="D63" s="73" t="str">
        <f>CONCATENATE(E60,F60)</f>
        <v>e_email</v>
      </c>
      <c r="E63" s="73" t="s">
        <v>73</v>
      </c>
      <c r="F63" s="73"/>
      <c r="G63" s="76"/>
      <c r="H63" s="104">
        <f t="shared" si="0"/>
        <v>1</v>
      </c>
      <c r="I63" s="3" t="str">
        <f t="shared" ref="I63" si="54">IF(B63,CONCATENATE(C63,D63," ",E63,F63,G63),"")</f>
        <v xml:space="preserve">       get { return e_email ; }</v>
      </c>
    </row>
    <row r="64" spans="2:9" x14ac:dyDescent="0.25">
      <c r="B64" s="102">
        <f>LOOKUP(B60,INICIO!A$10:A$109,INICIO!E$10:E$109)</f>
        <v>0</v>
      </c>
      <c r="C64" s="72" t="s">
        <v>111</v>
      </c>
      <c r="D64" s="73" t="str">
        <f>CONCATENATE(E60,F60)</f>
        <v>e_email</v>
      </c>
      <c r="E64" s="73" t="s">
        <v>74</v>
      </c>
      <c r="F64" s="73"/>
      <c r="G64" s="76"/>
      <c r="H64" s="104">
        <f t="shared" si="0"/>
        <v>1</v>
      </c>
      <c r="I64" s="3" t="str">
        <f t="shared" ref="I64" si="55">IF(B63,CONCATENATE(C64,D64," ",E64,F64,G64),"")</f>
        <v xml:space="preserve">       set { e_email  = value; }</v>
      </c>
    </row>
    <row r="65" spans="2:9" x14ac:dyDescent="0.25">
      <c r="B65" s="103"/>
      <c r="C65" s="74" t="s">
        <v>112</v>
      </c>
      <c r="D65" s="40"/>
      <c r="E65" s="40"/>
      <c r="F65" s="40"/>
      <c r="G65" s="77"/>
      <c r="H65" s="104">
        <f t="shared" si="0"/>
        <v>1</v>
      </c>
      <c r="I65" s="3" t="str">
        <f t="shared" ref="I65" si="56">IF(B63,CONCATENATE(C65,D65," ",E65,F65,G65),"")</f>
        <v xml:space="preserve">    } </v>
      </c>
    </row>
    <row r="66" spans="2:9" hidden="1" x14ac:dyDescent="0.25">
      <c r="H66" s="104">
        <f t="shared" si="0"/>
        <v>0</v>
      </c>
      <c r="I66" s="3" t="str">
        <f t="shared" ref="I66" si="57">IF(ISTEXT(B71),CONCATENATE("    // ",B71),"")</f>
        <v/>
      </c>
    </row>
    <row r="67" spans="2:9" hidden="1" x14ac:dyDescent="0.25">
      <c r="B67" s="101">
        <v>10</v>
      </c>
      <c r="C67" s="70" t="s">
        <v>107</v>
      </c>
      <c r="D67" s="71" t="str">
        <f>B69</f>
        <v/>
      </c>
      <c r="E67" s="71" t="str">
        <f>LOWER(E68)</f>
        <v/>
      </c>
      <c r="F67" s="71"/>
      <c r="G67" s="75" t="s">
        <v>72</v>
      </c>
      <c r="H67" s="104">
        <f t="shared" si="0"/>
        <v>0</v>
      </c>
      <c r="I67" s="3" t="str">
        <f t="shared" ref="I67" si="58">IF(B70,CONCATENATE(C67,D67," ",E67,F67,G67),"")</f>
        <v/>
      </c>
    </row>
    <row r="68" spans="2:9" hidden="1" x14ac:dyDescent="0.25">
      <c r="B68" s="102" t="str">
        <f>LOOKUP(B67,INICIO!A$10:A$109,INICIO!K$10:K$109)</f>
        <v/>
      </c>
      <c r="C68" s="72" t="s">
        <v>108</v>
      </c>
      <c r="D68" s="73" t="str">
        <f>B69</f>
        <v/>
      </c>
      <c r="E68" s="73" t="str">
        <f>B68</f>
        <v/>
      </c>
      <c r="F68" s="73"/>
      <c r="G68" s="76"/>
      <c r="H68" s="104">
        <f t="shared" ref="H68:H131" si="59">IF(I68&lt;&gt;"",1,0)</f>
        <v>0</v>
      </c>
      <c r="I68" s="3" t="str">
        <f t="shared" ref="I68" si="60">IF(B70,CONCATENATE(C68,D68," ",E68,F68,G68),"")</f>
        <v/>
      </c>
    </row>
    <row r="69" spans="2:9" hidden="1" x14ac:dyDescent="0.25">
      <c r="B69" s="102" t="str">
        <f>LOOKUP(B67,INICIO!A$10:A$109,INICIO!L$10:L$109)</f>
        <v/>
      </c>
      <c r="C69" s="72" t="s">
        <v>109</v>
      </c>
      <c r="D69" s="73"/>
      <c r="E69" s="73"/>
      <c r="F69" s="73"/>
      <c r="G69" s="76"/>
      <c r="H69" s="104">
        <f t="shared" si="59"/>
        <v>0</v>
      </c>
      <c r="I69" s="3" t="str">
        <f t="shared" ref="I69" si="61">IF(B70,CONCATENATE(C69,D69," ",E69,F69,G69),"")</f>
        <v/>
      </c>
    </row>
    <row r="70" spans="2:9" hidden="1" x14ac:dyDescent="0.25">
      <c r="B70" s="102">
        <f>LOOKUP(B67,INICIO!A$10:A$109,INICIO!J$10:J$109)</f>
        <v>0</v>
      </c>
      <c r="C70" s="72" t="s">
        <v>110</v>
      </c>
      <c r="D70" s="73" t="str">
        <f>CONCATENATE(E67,F67)</f>
        <v/>
      </c>
      <c r="E70" s="73" t="s">
        <v>73</v>
      </c>
      <c r="F70" s="73"/>
      <c r="G70" s="76"/>
      <c r="H70" s="104">
        <f t="shared" si="59"/>
        <v>0</v>
      </c>
      <c r="I70" s="3" t="str">
        <f t="shared" ref="I70" si="62">IF(B70,CONCATENATE(C70,D70," ",E70,F70,G70),"")</f>
        <v/>
      </c>
    </row>
    <row r="71" spans="2:9" hidden="1" x14ac:dyDescent="0.25">
      <c r="B71" s="102">
        <f>LOOKUP(B67,INICIO!A$10:A$109,INICIO!E$10:E$109)</f>
        <v>0</v>
      </c>
      <c r="C71" s="72" t="s">
        <v>111</v>
      </c>
      <c r="D71" s="73" t="str">
        <f>CONCATENATE(E67,F67)</f>
        <v/>
      </c>
      <c r="E71" s="73" t="s">
        <v>74</v>
      </c>
      <c r="F71" s="73"/>
      <c r="G71" s="76"/>
      <c r="H71" s="104">
        <f t="shared" si="59"/>
        <v>0</v>
      </c>
      <c r="I71" s="3" t="str">
        <f t="shared" ref="I71" si="63">IF(B70,CONCATENATE(C71,D71," ",E71,F71,G71),"")</f>
        <v/>
      </c>
    </row>
    <row r="72" spans="2:9" hidden="1" x14ac:dyDescent="0.25">
      <c r="B72" s="103"/>
      <c r="C72" s="74" t="s">
        <v>112</v>
      </c>
      <c r="D72" s="40"/>
      <c r="E72" s="40"/>
      <c r="F72" s="40"/>
      <c r="G72" s="77"/>
      <c r="H72" s="104">
        <f t="shared" si="59"/>
        <v>0</v>
      </c>
      <c r="I72" s="3" t="str">
        <f t="shared" ref="I72" si="64">IF(B70,CONCATENATE(C72,D72," ",E72,F72,G72),"")</f>
        <v/>
      </c>
    </row>
    <row r="73" spans="2:9" hidden="1" x14ac:dyDescent="0.25">
      <c r="H73" s="104">
        <f t="shared" si="59"/>
        <v>0</v>
      </c>
      <c r="I73" s="3" t="str">
        <f t="shared" ref="I73" si="65">IF(ISTEXT(B78),CONCATENATE("    // ",B78),"")</f>
        <v/>
      </c>
    </row>
    <row r="74" spans="2:9" hidden="1" x14ac:dyDescent="0.25">
      <c r="B74" s="101">
        <v>11</v>
      </c>
      <c r="C74" s="70" t="s">
        <v>107</v>
      </c>
      <c r="D74" s="71" t="str">
        <f t="shared" ref="D74" si="66">B76</f>
        <v/>
      </c>
      <c r="E74" s="71" t="str">
        <f t="shared" ref="E74" si="67">LOWER(E75)</f>
        <v/>
      </c>
      <c r="F74" s="71"/>
      <c r="G74" s="75" t="s">
        <v>72</v>
      </c>
      <c r="H74" s="104">
        <f t="shared" si="59"/>
        <v>0</v>
      </c>
      <c r="I74" s="3" t="str">
        <f t="shared" ref="I74" si="68">IF(B77,CONCATENATE(C74,D74," ",E74,F74,G74),"")</f>
        <v/>
      </c>
    </row>
    <row r="75" spans="2:9" hidden="1" x14ac:dyDescent="0.25">
      <c r="B75" s="102" t="str">
        <f>LOOKUP(B74,INICIO!A$10:A$109,INICIO!K$10:K$109)</f>
        <v/>
      </c>
      <c r="C75" s="72" t="s">
        <v>108</v>
      </c>
      <c r="D75" s="73" t="str">
        <f t="shared" ref="D75" si="69">B76</f>
        <v/>
      </c>
      <c r="E75" s="73" t="str">
        <f t="shared" ref="E75" si="70">B75</f>
        <v/>
      </c>
      <c r="F75" s="73"/>
      <c r="G75" s="76"/>
      <c r="H75" s="104">
        <f t="shared" si="59"/>
        <v>0</v>
      </c>
      <c r="I75" s="3" t="str">
        <f t="shared" ref="I75" si="71">IF(B77,CONCATENATE(C75,D75," ",E75,F75,G75),"")</f>
        <v/>
      </c>
    </row>
    <row r="76" spans="2:9" hidden="1" x14ac:dyDescent="0.25">
      <c r="B76" s="102" t="str">
        <f>LOOKUP(B74,INICIO!A$10:A$109,INICIO!L$10:L$109)</f>
        <v/>
      </c>
      <c r="C76" s="72" t="s">
        <v>109</v>
      </c>
      <c r="D76" s="73"/>
      <c r="E76" s="73"/>
      <c r="F76" s="73"/>
      <c r="G76" s="76"/>
      <c r="H76" s="104">
        <f t="shared" si="59"/>
        <v>0</v>
      </c>
      <c r="I76" s="3" t="str">
        <f t="shared" ref="I76" si="72">IF(B77,CONCATENATE(C76,D76," ",E76,F76,G76),"")</f>
        <v/>
      </c>
    </row>
    <row r="77" spans="2:9" hidden="1" x14ac:dyDescent="0.25">
      <c r="B77" s="102">
        <f>LOOKUP(B74,INICIO!A$10:A$109,INICIO!J$10:J$109)</f>
        <v>0</v>
      </c>
      <c r="C77" s="72" t="s">
        <v>110</v>
      </c>
      <c r="D77" s="73" t="str">
        <f t="shared" ref="D77" si="73">CONCATENATE(E74,F74)</f>
        <v/>
      </c>
      <c r="E77" s="73" t="s">
        <v>73</v>
      </c>
      <c r="F77" s="73"/>
      <c r="G77" s="76"/>
      <c r="H77" s="104">
        <f t="shared" si="59"/>
        <v>0</v>
      </c>
      <c r="I77" s="3" t="str">
        <f t="shared" ref="I77" si="74">IF(B77,CONCATENATE(C77,D77," ",E77,F77,G77),"")</f>
        <v/>
      </c>
    </row>
    <row r="78" spans="2:9" hidden="1" x14ac:dyDescent="0.25">
      <c r="B78" s="102">
        <f>LOOKUP(B74,INICIO!A$10:A$109,INICIO!E$10:E$109)</f>
        <v>0</v>
      </c>
      <c r="C78" s="72" t="s">
        <v>111</v>
      </c>
      <c r="D78" s="73" t="str">
        <f t="shared" ref="D78" si="75">CONCATENATE(E74,F74)</f>
        <v/>
      </c>
      <c r="E78" s="73" t="s">
        <v>74</v>
      </c>
      <c r="F78" s="73"/>
      <c r="G78" s="76"/>
      <c r="H78" s="104">
        <f t="shared" si="59"/>
        <v>0</v>
      </c>
      <c r="I78" s="3" t="str">
        <f t="shared" ref="I78" si="76">IF(B77,CONCATENATE(C78,D78," ",E78,F78,G78),"")</f>
        <v/>
      </c>
    </row>
    <row r="79" spans="2:9" hidden="1" x14ac:dyDescent="0.25">
      <c r="B79" s="103"/>
      <c r="C79" s="74" t="s">
        <v>112</v>
      </c>
      <c r="D79" s="40"/>
      <c r="E79" s="40"/>
      <c r="F79" s="40"/>
      <c r="G79" s="77"/>
      <c r="H79" s="104">
        <f t="shared" si="59"/>
        <v>0</v>
      </c>
      <c r="I79" s="3" t="str">
        <f t="shared" ref="I79" si="77">IF(B77,CONCATENATE(C79,D79," ",E79,F79,G79),"")</f>
        <v/>
      </c>
    </row>
    <row r="80" spans="2:9" hidden="1" x14ac:dyDescent="0.25">
      <c r="H80" s="104">
        <f t="shared" si="59"/>
        <v>0</v>
      </c>
      <c r="I80" s="3" t="str">
        <f t="shared" ref="I80" si="78">IF(ISTEXT(B85),CONCATENATE("    // ",B85),"")</f>
        <v/>
      </c>
    </row>
    <row r="81" spans="2:9" hidden="1" x14ac:dyDescent="0.25">
      <c r="B81" s="101">
        <v>12</v>
      </c>
      <c r="C81" s="70" t="s">
        <v>107</v>
      </c>
      <c r="D81" s="71" t="str">
        <f t="shared" ref="D81" si="79">B83</f>
        <v/>
      </c>
      <c r="E81" s="71" t="str">
        <f t="shared" ref="E81" si="80">LOWER(E82)</f>
        <v/>
      </c>
      <c r="F81" s="71"/>
      <c r="G81" s="75" t="s">
        <v>72</v>
      </c>
      <c r="H81" s="104">
        <f t="shared" si="59"/>
        <v>0</v>
      </c>
      <c r="I81" s="3" t="str">
        <f t="shared" ref="I81" si="81">IF(B84,CONCATENATE(C81,D81," ",E81,F81,G81),"")</f>
        <v/>
      </c>
    </row>
    <row r="82" spans="2:9" hidden="1" x14ac:dyDescent="0.25">
      <c r="B82" s="102" t="str">
        <f>LOOKUP(B81,INICIO!A$10:A$109,INICIO!K$10:K$109)</f>
        <v/>
      </c>
      <c r="C82" s="72" t="s">
        <v>108</v>
      </c>
      <c r="D82" s="73" t="str">
        <f t="shared" ref="D82" si="82">B83</f>
        <v/>
      </c>
      <c r="E82" s="73" t="str">
        <f t="shared" ref="E82" si="83">B82</f>
        <v/>
      </c>
      <c r="F82" s="73"/>
      <c r="G82" s="76"/>
      <c r="H82" s="104">
        <f t="shared" si="59"/>
        <v>0</v>
      </c>
      <c r="I82" s="3" t="str">
        <f t="shared" ref="I82" si="84">IF(B84,CONCATENATE(C82,D82," ",E82,F82,G82),"")</f>
        <v/>
      </c>
    </row>
    <row r="83" spans="2:9" hidden="1" x14ac:dyDescent="0.25">
      <c r="B83" s="102" t="str">
        <f>LOOKUP(B81,INICIO!A$10:A$109,INICIO!L$10:L$109)</f>
        <v/>
      </c>
      <c r="C83" s="72" t="s">
        <v>109</v>
      </c>
      <c r="D83" s="73"/>
      <c r="E83" s="73"/>
      <c r="F83" s="73"/>
      <c r="G83" s="76"/>
      <c r="H83" s="104">
        <f t="shared" si="59"/>
        <v>0</v>
      </c>
      <c r="I83" s="3" t="str">
        <f t="shared" ref="I83" si="85">IF(B84,CONCATENATE(C83,D83," ",E83,F83,G83),"")</f>
        <v/>
      </c>
    </row>
    <row r="84" spans="2:9" hidden="1" x14ac:dyDescent="0.25">
      <c r="B84" s="102">
        <f>LOOKUP(B81,INICIO!A$10:A$109,INICIO!J$10:J$109)</f>
        <v>0</v>
      </c>
      <c r="C84" s="72" t="s">
        <v>110</v>
      </c>
      <c r="D84" s="73" t="str">
        <f t="shared" ref="D84" si="86">CONCATENATE(E81,F81)</f>
        <v/>
      </c>
      <c r="E84" s="73" t="s">
        <v>73</v>
      </c>
      <c r="F84" s="73"/>
      <c r="G84" s="76"/>
      <c r="H84" s="104">
        <f t="shared" si="59"/>
        <v>0</v>
      </c>
      <c r="I84" s="3" t="str">
        <f t="shared" ref="I84" si="87">IF(B84,CONCATENATE(C84,D84," ",E84,F84,G84),"")</f>
        <v/>
      </c>
    </row>
    <row r="85" spans="2:9" hidden="1" x14ac:dyDescent="0.25">
      <c r="B85" s="102">
        <f>LOOKUP(B81,INICIO!A$10:A$109,INICIO!E$10:E$109)</f>
        <v>0</v>
      </c>
      <c r="C85" s="72" t="s">
        <v>111</v>
      </c>
      <c r="D85" s="73" t="str">
        <f t="shared" ref="D85" si="88">CONCATENATE(E81,F81)</f>
        <v/>
      </c>
      <c r="E85" s="73" t="s">
        <v>74</v>
      </c>
      <c r="F85" s="73"/>
      <c r="G85" s="76"/>
      <c r="H85" s="104">
        <f t="shared" si="59"/>
        <v>0</v>
      </c>
      <c r="I85" s="3" t="str">
        <f t="shared" ref="I85" si="89">IF(B84,CONCATENATE(C85,D85," ",E85,F85,G85),"")</f>
        <v/>
      </c>
    </row>
    <row r="86" spans="2:9" hidden="1" x14ac:dyDescent="0.25">
      <c r="B86" s="103"/>
      <c r="C86" s="74" t="s">
        <v>112</v>
      </c>
      <c r="D86" s="40"/>
      <c r="E86" s="40"/>
      <c r="F86" s="40"/>
      <c r="G86" s="77"/>
      <c r="H86" s="104">
        <f t="shared" si="59"/>
        <v>0</v>
      </c>
      <c r="I86" s="3" t="str">
        <f t="shared" ref="I86" si="90">IF(B84,CONCATENATE(C86,D86," ",E86,F86,G86),"")</f>
        <v/>
      </c>
    </row>
    <row r="87" spans="2:9" hidden="1" x14ac:dyDescent="0.25">
      <c r="H87" s="104">
        <f t="shared" si="59"/>
        <v>0</v>
      </c>
      <c r="I87" s="3" t="str">
        <f t="shared" ref="I87" si="91">IF(ISTEXT(B92),CONCATENATE("    // ",B92),"")</f>
        <v/>
      </c>
    </row>
    <row r="88" spans="2:9" hidden="1" x14ac:dyDescent="0.25">
      <c r="B88" s="101">
        <v>13</v>
      </c>
      <c r="C88" s="70" t="s">
        <v>107</v>
      </c>
      <c r="D88" s="71" t="str">
        <f t="shared" ref="D88" si="92">B90</f>
        <v/>
      </c>
      <c r="E88" s="71" t="str">
        <f t="shared" ref="E88" si="93">LOWER(E89)</f>
        <v/>
      </c>
      <c r="F88" s="71"/>
      <c r="G88" s="75" t="s">
        <v>72</v>
      </c>
      <c r="H88" s="104">
        <f t="shared" si="59"/>
        <v>0</v>
      </c>
      <c r="I88" s="3" t="str">
        <f t="shared" ref="I88" si="94">IF(B91,CONCATENATE(C88,D88," ",E88,F88,G88),"")</f>
        <v/>
      </c>
    </row>
    <row r="89" spans="2:9" hidden="1" x14ac:dyDescent="0.25">
      <c r="B89" s="102" t="str">
        <f>LOOKUP(B88,INICIO!A$10:A$109,INICIO!K$10:K$109)</f>
        <v/>
      </c>
      <c r="C89" s="72" t="s">
        <v>108</v>
      </c>
      <c r="D89" s="73" t="str">
        <f t="shared" ref="D89" si="95">B90</f>
        <v/>
      </c>
      <c r="E89" s="73" t="str">
        <f t="shared" ref="E89" si="96">B89</f>
        <v/>
      </c>
      <c r="F89" s="73"/>
      <c r="G89" s="76"/>
      <c r="H89" s="104">
        <f t="shared" si="59"/>
        <v>0</v>
      </c>
      <c r="I89" s="3" t="str">
        <f t="shared" ref="I89" si="97">IF(B91,CONCATENATE(C89,D89," ",E89,F89,G89),"")</f>
        <v/>
      </c>
    </row>
    <row r="90" spans="2:9" hidden="1" x14ac:dyDescent="0.25">
      <c r="B90" s="102" t="str">
        <f>LOOKUP(B88,INICIO!A$10:A$109,INICIO!L$10:L$109)</f>
        <v/>
      </c>
      <c r="C90" s="72" t="s">
        <v>109</v>
      </c>
      <c r="D90" s="73"/>
      <c r="E90" s="73"/>
      <c r="F90" s="73"/>
      <c r="G90" s="76"/>
      <c r="H90" s="104">
        <f t="shared" si="59"/>
        <v>0</v>
      </c>
      <c r="I90" s="3" t="str">
        <f t="shared" ref="I90" si="98">IF(B91,CONCATENATE(C90,D90," ",E90,F90,G90),"")</f>
        <v/>
      </c>
    </row>
    <row r="91" spans="2:9" hidden="1" x14ac:dyDescent="0.25">
      <c r="B91" s="102">
        <f>LOOKUP(B88,INICIO!A$10:A$109,INICIO!J$10:J$109)</f>
        <v>0</v>
      </c>
      <c r="C91" s="72" t="s">
        <v>110</v>
      </c>
      <c r="D91" s="73" t="str">
        <f t="shared" ref="D91" si="99">CONCATENATE(E88,F88)</f>
        <v/>
      </c>
      <c r="E91" s="73" t="s">
        <v>73</v>
      </c>
      <c r="F91" s="73"/>
      <c r="G91" s="76"/>
      <c r="H91" s="104">
        <f t="shared" si="59"/>
        <v>0</v>
      </c>
      <c r="I91" s="3" t="str">
        <f t="shared" ref="I91" si="100">IF(B91,CONCATENATE(C91,D91," ",E91,F91,G91),"")</f>
        <v/>
      </c>
    </row>
    <row r="92" spans="2:9" hidden="1" x14ac:dyDescent="0.25">
      <c r="B92" s="102">
        <f>LOOKUP(B88,INICIO!A$10:A$109,INICIO!E$10:E$109)</f>
        <v>0</v>
      </c>
      <c r="C92" s="72" t="s">
        <v>111</v>
      </c>
      <c r="D92" s="73" t="str">
        <f t="shared" ref="D92" si="101">CONCATENATE(E88,F88)</f>
        <v/>
      </c>
      <c r="E92" s="73" t="s">
        <v>74</v>
      </c>
      <c r="F92" s="73"/>
      <c r="G92" s="76"/>
      <c r="H92" s="104">
        <f t="shared" si="59"/>
        <v>0</v>
      </c>
      <c r="I92" s="3" t="str">
        <f t="shared" ref="I92" si="102">IF(B91,CONCATENATE(C92,D92," ",E92,F92,G92),"")</f>
        <v/>
      </c>
    </row>
    <row r="93" spans="2:9" hidden="1" x14ac:dyDescent="0.25">
      <c r="B93" s="103"/>
      <c r="C93" s="74" t="s">
        <v>112</v>
      </c>
      <c r="D93" s="40"/>
      <c r="E93" s="40"/>
      <c r="F93" s="40"/>
      <c r="G93" s="77"/>
      <c r="H93" s="104">
        <f t="shared" si="59"/>
        <v>0</v>
      </c>
      <c r="I93" s="3" t="str">
        <f t="shared" ref="I93" si="103">IF(B91,CONCATENATE(C93,D93," ",E93,F93,G93),"")</f>
        <v/>
      </c>
    </row>
    <row r="94" spans="2:9" hidden="1" x14ac:dyDescent="0.25">
      <c r="H94" s="104">
        <f t="shared" si="59"/>
        <v>0</v>
      </c>
      <c r="I94" s="3" t="str">
        <f t="shared" ref="I94" si="104">IF(ISTEXT(B99),CONCATENATE("    // ",B99),"")</f>
        <v/>
      </c>
    </row>
    <row r="95" spans="2:9" hidden="1" x14ac:dyDescent="0.25">
      <c r="B95" s="101">
        <v>14</v>
      </c>
      <c r="C95" s="70" t="s">
        <v>107</v>
      </c>
      <c r="D95" s="71" t="str">
        <f t="shared" ref="D95" si="105">B97</f>
        <v/>
      </c>
      <c r="E95" s="71" t="str">
        <f t="shared" ref="E95" si="106">LOWER(E96)</f>
        <v/>
      </c>
      <c r="F95" s="71"/>
      <c r="G95" s="75" t="s">
        <v>72</v>
      </c>
      <c r="H95" s="104">
        <f t="shared" si="59"/>
        <v>0</v>
      </c>
      <c r="I95" s="3" t="str">
        <f t="shared" ref="I95" si="107">IF(B98,CONCATENATE(C95,D95," ",E95,F95,G95),"")</f>
        <v/>
      </c>
    </row>
    <row r="96" spans="2:9" hidden="1" x14ac:dyDescent="0.25">
      <c r="B96" s="102" t="str">
        <f>LOOKUP(B95,INICIO!A$10:A$109,INICIO!K$10:K$109)</f>
        <v/>
      </c>
      <c r="C96" s="72" t="s">
        <v>108</v>
      </c>
      <c r="D96" s="73" t="str">
        <f t="shared" ref="D96" si="108">B97</f>
        <v/>
      </c>
      <c r="E96" s="73" t="str">
        <f t="shared" ref="E96" si="109">B96</f>
        <v/>
      </c>
      <c r="F96" s="73"/>
      <c r="G96" s="76"/>
      <c r="H96" s="104">
        <f t="shared" si="59"/>
        <v>0</v>
      </c>
      <c r="I96" s="3" t="str">
        <f t="shared" ref="I96" si="110">IF(B98,CONCATENATE(C96,D96," ",E96,F96,G96),"")</f>
        <v/>
      </c>
    </row>
    <row r="97" spans="2:9" hidden="1" x14ac:dyDescent="0.25">
      <c r="B97" s="102" t="str">
        <f>LOOKUP(B95,INICIO!A$10:A$109,INICIO!L$10:L$109)</f>
        <v/>
      </c>
      <c r="C97" s="72" t="s">
        <v>109</v>
      </c>
      <c r="D97" s="73"/>
      <c r="E97" s="73"/>
      <c r="F97" s="73"/>
      <c r="G97" s="76"/>
      <c r="H97" s="104">
        <f t="shared" si="59"/>
        <v>0</v>
      </c>
      <c r="I97" s="3" t="str">
        <f t="shared" ref="I97" si="111">IF(B98,CONCATENATE(C97,D97," ",E97,F97,G97),"")</f>
        <v/>
      </c>
    </row>
    <row r="98" spans="2:9" hidden="1" x14ac:dyDescent="0.25">
      <c r="B98" s="102">
        <f>LOOKUP(B95,INICIO!A$10:A$109,INICIO!J$10:J$109)</f>
        <v>0</v>
      </c>
      <c r="C98" s="72" t="s">
        <v>110</v>
      </c>
      <c r="D98" s="73" t="str">
        <f t="shared" ref="D98" si="112">CONCATENATE(E95,F95)</f>
        <v/>
      </c>
      <c r="E98" s="73" t="s">
        <v>73</v>
      </c>
      <c r="F98" s="73"/>
      <c r="G98" s="76"/>
      <c r="H98" s="104">
        <f t="shared" si="59"/>
        <v>0</v>
      </c>
      <c r="I98" s="3" t="str">
        <f t="shared" ref="I98" si="113">IF(B98,CONCATENATE(C98,D98," ",E98,F98,G98),"")</f>
        <v/>
      </c>
    </row>
    <row r="99" spans="2:9" hidden="1" x14ac:dyDescent="0.25">
      <c r="B99" s="102">
        <f>LOOKUP(B95,INICIO!A$10:A$109,INICIO!E$10:E$109)</f>
        <v>0</v>
      </c>
      <c r="C99" s="72" t="s">
        <v>111</v>
      </c>
      <c r="D99" s="73" t="str">
        <f t="shared" ref="D99" si="114">CONCATENATE(E95,F95)</f>
        <v/>
      </c>
      <c r="E99" s="73" t="s">
        <v>74</v>
      </c>
      <c r="F99" s="73"/>
      <c r="G99" s="76"/>
      <c r="H99" s="104">
        <f t="shared" si="59"/>
        <v>0</v>
      </c>
      <c r="I99" s="3" t="str">
        <f t="shared" ref="I99" si="115">IF(B98,CONCATENATE(C99,D99," ",E99,F99,G99),"")</f>
        <v/>
      </c>
    </row>
    <row r="100" spans="2:9" hidden="1" x14ac:dyDescent="0.25">
      <c r="B100" s="103"/>
      <c r="C100" s="74" t="s">
        <v>112</v>
      </c>
      <c r="D100" s="40"/>
      <c r="E100" s="40"/>
      <c r="F100" s="40"/>
      <c r="G100" s="77"/>
      <c r="H100" s="104">
        <f t="shared" si="59"/>
        <v>0</v>
      </c>
      <c r="I100" s="3" t="str">
        <f t="shared" ref="I100" si="116">IF(B98,CONCATENATE(C100,D100," ",E100,F100,G100),"")</f>
        <v/>
      </c>
    </row>
    <row r="101" spans="2:9" hidden="1" x14ac:dyDescent="0.25">
      <c r="H101" s="104">
        <f t="shared" si="59"/>
        <v>0</v>
      </c>
      <c r="I101" s="3" t="str">
        <f t="shared" ref="I101" si="117">IF(ISTEXT(B106),CONCATENATE("    // ",B106),"")</f>
        <v/>
      </c>
    </row>
    <row r="102" spans="2:9" hidden="1" x14ac:dyDescent="0.25">
      <c r="B102" s="101">
        <v>15</v>
      </c>
      <c r="C102" s="70" t="s">
        <v>107</v>
      </c>
      <c r="D102" s="71" t="str">
        <f t="shared" ref="D102" si="118">B104</f>
        <v/>
      </c>
      <c r="E102" s="71" t="str">
        <f t="shared" ref="E102" si="119">LOWER(E103)</f>
        <v/>
      </c>
      <c r="F102" s="71"/>
      <c r="G102" s="75" t="s">
        <v>72</v>
      </c>
      <c r="H102" s="104">
        <f t="shared" si="59"/>
        <v>0</v>
      </c>
      <c r="I102" s="3" t="str">
        <f t="shared" ref="I102" si="120">IF(B105,CONCATENATE(C102,D102," ",E102,F102,G102),"")</f>
        <v/>
      </c>
    </row>
    <row r="103" spans="2:9" hidden="1" x14ac:dyDescent="0.25">
      <c r="B103" s="102" t="str">
        <f>LOOKUP(B102,INICIO!A$10:A$109,INICIO!K$10:K$109)</f>
        <v/>
      </c>
      <c r="C103" s="72" t="s">
        <v>108</v>
      </c>
      <c r="D103" s="73" t="str">
        <f t="shared" ref="D103" si="121">B104</f>
        <v/>
      </c>
      <c r="E103" s="73" t="str">
        <f t="shared" ref="E103" si="122">B103</f>
        <v/>
      </c>
      <c r="F103" s="73"/>
      <c r="G103" s="76"/>
      <c r="H103" s="104">
        <f t="shared" si="59"/>
        <v>0</v>
      </c>
      <c r="I103" s="3" t="str">
        <f t="shared" ref="I103" si="123">IF(B105,CONCATENATE(C103,D103," ",E103,F103,G103),"")</f>
        <v/>
      </c>
    </row>
    <row r="104" spans="2:9" hidden="1" x14ac:dyDescent="0.25">
      <c r="B104" s="102" t="str">
        <f>LOOKUP(B102,INICIO!A$10:A$109,INICIO!L$10:L$109)</f>
        <v/>
      </c>
      <c r="C104" s="72" t="s">
        <v>109</v>
      </c>
      <c r="D104" s="73"/>
      <c r="E104" s="73"/>
      <c r="F104" s="73"/>
      <c r="G104" s="76"/>
      <c r="H104" s="104">
        <f t="shared" si="59"/>
        <v>0</v>
      </c>
      <c r="I104" s="3" t="str">
        <f t="shared" ref="I104" si="124">IF(B105,CONCATENATE(C104,D104," ",E104,F104,G104),"")</f>
        <v/>
      </c>
    </row>
    <row r="105" spans="2:9" hidden="1" x14ac:dyDescent="0.25">
      <c r="B105" s="102">
        <f>LOOKUP(B102,INICIO!A$10:A$109,INICIO!J$10:J$109)</f>
        <v>0</v>
      </c>
      <c r="C105" s="72" t="s">
        <v>110</v>
      </c>
      <c r="D105" s="73" t="str">
        <f t="shared" ref="D105" si="125">CONCATENATE(E102,F102)</f>
        <v/>
      </c>
      <c r="E105" s="73" t="s">
        <v>73</v>
      </c>
      <c r="F105" s="73"/>
      <c r="G105" s="76"/>
      <c r="H105" s="104">
        <f t="shared" si="59"/>
        <v>0</v>
      </c>
      <c r="I105" s="3" t="str">
        <f t="shared" ref="I105" si="126">IF(B105,CONCATENATE(C105,D105," ",E105,F105,G105),"")</f>
        <v/>
      </c>
    </row>
    <row r="106" spans="2:9" hidden="1" x14ac:dyDescent="0.25">
      <c r="B106" s="102">
        <f>LOOKUP(B102,INICIO!A$10:A$109,INICIO!E$10:E$109)</f>
        <v>0</v>
      </c>
      <c r="C106" s="72" t="s">
        <v>111</v>
      </c>
      <c r="D106" s="73" t="str">
        <f t="shared" ref="D106" si="127">CONCATENATE(E102,F102)</f>
        <v/>
      </c>
      <c r="E106" s="73" t="s">
        <v>74</v>
      </c>
      <c r="F106" s="73"/>
      <c r="G106" s="76"/>
      <c r="H106" s="104">
        <f t="shared" si="59"/>
        <v>0</v>
      </c>
      <c r="I106" s="3" t="str">
        <f t="shared" ref="I106" si="128">IF(B105,CONCATENATE(C106,D106," ",E106,F106,G106),"")</f>
        <v/>
      </c>
    </row>
    <row r="107" spans="2:9" hidden="1" x14ac:dyDescent="0.25">
      <c r="B107" s="103"/>
      <c r="C107" s="74" t="s">
        <v>112</v>
      </c>
      <c r="D107" s="40"/>
      <c r="E107" s="40"/>
      <c r="F107" s="40"/>
      <c r="G107" s="77"/>
      <c r="H107" s="104">
        <f t="shared" si="59"/>
        <v>0</v>
      </c>
      <c r="I107" s="3" t="str">
        <f t="shared" ref="I107" si="129">IF(B105,CONCATENATE(C107,D107," ",E107,F107,G107),"")</f>
        <v/>
      </c>
    </row>
    <row r="108" spans="2:9" hidden="1" x14ac:dyDescent="0.25">
      <c r="H108" s="104">
        <f t="shared" si="59"/>
        <v>0</v>
      </c>
      <c r="I108" s="3" t="str">
        <f t="shared" ref="I108" si="130">IF(ISTEXT(B113),CONCATENATE("    // ",B113),"")</f>
        <v/>
      </c>
    </row>
    <row r="109" spans="2:9" hidden="1" x14ac:dyDescent="0.25">
      <c r="B109" s="101">
        <v>16</v>
      </c>
      <c r="C109" s="70" t="s">
        <v>107</v>
      </c>
      <c r="D109" s="71" t="str">
        <f t="shared" ref="D109" si="131">B111</f>
        <v/>
      </c>
      <c r="E109" s="71" t="str">
        <f t="shared" ref="E109" si="132">LOWER(E110)</f>
        <v/>
      </c>
      <c r="F109" s="71"/>
      <c r="G109" s="75" t="s">
        <v>72</v>
      </c>
      <c r="H109" s="104">
        <f t="shared" si="59"/>
        <v>0</v>
      </c>
      <c r="I109" s="3" t="str">
        <f t="shared" ref="I109" si="133">IF(B112,CONCATENATE(C109,D109," ",E109,F109,G109),"")</f>
        <v/>
      </c>
    </row>
    <row r="110" spans="2:9" hidden="1" x14ac:dyDescent="0.25">
      <c r="B110" s="102" t="str">
        <f>LOOKUP(B109,INICIO!A$10:A$109,INICIO!K$10:K$109)</f>
        <v/>
      </c>
      <c r="C110" s="72" t="s">
        <v>108</v>
      </c>
      <c r="D110" s="73" t="str">
        <f t="shared" ref="D110" si="134">B111</f>
        <v/>
      </c>
      <c r="E110" s="73" t="str">
        <f t="shared" ref="E110" si="135">B110</f>
        <v/>
      </c>
      <c r="F110" s="73"/>
      <c r="G110" s="76"/>
      <c r="H110" s="104">
        <f t="shared" si="59"/>
        <v>0</v>
      </c>
      <c r="I110" s="3" t="str">
        <f t="shared" ref="I110" si="136">IF(B112,CONCATENATE(C110,D110," ",E110,F110,G110),"")</f>
        <v/>
      </c>
    </row>
    <row r="111" spans="2:9" hidden="1" x14ac:dyDescent="0.25">
      <c r="B111" s="102" t="str">
        <f>LOOKUP(B109,INICIO!A$10:A$109,INICIO!L$10:L$109)</f>
        <v/>
      </c>
      <c r="C111" s="72" t="s">
        <v>109</v>
      </c>
      <c r="D111" s="73"/>
      <c r="E111" s="73"/>
      <c r="F111" s="73"/>
      <c r="G111" s="76"/>
      <c r="H111" s="104">
        <f t="shared" si="59"/>
        <v>0</v>
      </c>
      <c r="I111" s="3" t="str">
        <f t="shared" ref="I111" si="137">IF(B112,CONCATENATE(C111,D111," ",E111,F111,G111),"")</f>
        <v/>
      </c>
    </row>
    <row r="112" spans="2:9" hidden="1" x14ac:dyDescent="0.25">
      <c r="B112" s="102">
        <f>LOOKUP(B109,INICIO!A$10:A$109,INICIO!J$10:J$109)</f>
        <v>0</v>
      </c>
      <c r="C112" s="72" t="s">
        <v>110</v>
      </c>
      <c r="D112" s="73" t="str">
        <f t="shared" ref="D112" si="138">CONCATENATE(E109,F109)</f>
        <v/>
      </c>
      <c r="E112" s="73" t="s">
        <v>73</v>
      </c>
      <c r="F112" s="73"/>
      <c r="G112" s="76"/>
      <c r="H112" s="104">
        <f t="shared" si="59"/>
        <v>0</v>
      </c>
      <c r="I112" s="3" t="str">
        <f t="shared" ref="I112" si="139">IF(B112,CONCATENATE(C112,D112," ",E112,F112,G112),"")</f>
        <v/>
      </c>
    </row>
    <row r="113" spans="2:9" hidden="1" x14ac:dyDescent="0.25">
      <c r="B113" s="102">
        <f>LOOKUP(B109,INICIO!A$10:A$109,INICIO!E$10:E$109)</f>
        <v>0</v>
      </c>
      <c r="C113" s="72" t="s">
        <v>111</v>
      </c>
      <c r="D113" s="73" t="str">
        <f t="shared" ref="D113" si="140">CONCATENATE(E109,F109)</f>
        <v/>
      </c>
      <c r="E113" s="73" t="s">
        <v>74</v>
      </c>
      <c r="F113" s="73"/>
      <c r="G113" s="76"/>
      <c r="H113" s="104">
        <f t="shared" si="59"/>
        <v>0</v>
      </c>
      <c r="I113" s="3" t="str">
        <f t="shared" ref="I113" si="141">IF(B112,CONCATENATE(C113,D113," ",E113,F113,G113),"")</f>
        <v/>
      </c>
    </row>
    <row r="114" spans="2:9" hidden="1" x14ac:dyDescent="0.25">
      <c r="B114" s="103"/>
      <c r="C114" s="74" t="s">
        <v>112</v>
      </c>
      <c r="D114" s="40"/>
      <c r="E114" s="40"/>
      <c r="F114" s="40"/>
      <c r="G114" s="77"/>
      <c r="H114" s="104">
        <f t="shared" si="59"/>
        <v>0</v>
      </c>
      <c r="I114" s="3" t="str">
        <f t="shared" ref="I114" si="142">IF(B112,CONCATENATE(C114,D114," ",E114,F114,G114),"")</f>
        <v/>
      </c>
    </row>
    <row r="115" spans="2:9" hidden="1" x14ac:dyDescent="0.25">
      <c r="H115" s="104">
        <f t="shared" si="59"/>
        <v>0</v>
      </c>
      <c r="I115" s="3" t="str">
        <f t="shared" ref="I115" si="143">IF(ISTEXT(B120),CONCATENATE("    // ",B120),"")</f>
        <v/>
      </c>
    </row>
    <row r="116" spans="2:9" hidden="1" x14ac:dyDescent="0.25">
      <c r="B116" s="101">
        <v>17</v>
      </c>
      <c r="C116" s="70" t="s">
        <v>107</v>
      </c>
      <c r="D116" s="71" t="str">
        <f t="shared" ref="D116" si="144">B118</f>
        <v/>
      </c>
      <c r="E116" s="71" t="str">
        <f t="shared" ref="E116" si="145">LOWER(E117)</f>
        <v/>
      </c>
      <c r="F116" s="71"/>
      <c r="G116" s="75" t="s">
        <v>72</v>
      </c>
      <c r="H116" s="104">
        <f t="shared" si="59"/>
        <v>0</v>
      </c>
      <c r="I116" s="3" t="str">
        <f t="shared" ref="I116" si="146">IF(B119,CONCATENATE(C116,D116," ",E116,F116,G116),"")</f>
        <v/>
      </c>
    </row>
    <row r="117" spans="2:9" hidden="1" x14ac:dyDescent="0.25">
      <c r="B117" s="102" t="str">
        <f>LOOKUP(B116,INICIO!A$10:A$109,INICIO!K$10:K$109)</f>
        <v/>
      </c>
      <c r="C117" s="72" t="s">
        <v>108</v>
      </c>
      <c r="D117" s="73" t="str">
        <f t="shared" ref="D117" si="147">B118</f>
        <v/>
      </c>
      <c r="E117" s="73" t="str">
        <f t="shared" ref="E117" si="148">B117</f>
        <v/>
      </c>
      <c r="F117" s="73"/>
      <c r="G117" s="76"/>
      <c r="H117" s="104">
        <f t="shared" si="59"/>
        <v>0</v>
      </c>
      <c r="I117" s="3" t="str">
        <f t="shared" ref="I117" si="149">IF(B119,CONCATENATE(C117,D117," ",E117,F117,G117),"")</f>
        <v/>
      </c>
    </row>
    <row r="118" spans="2:9" hidden="1" x14ac:dyDescent="0.25">
      <c r="B118" s="102" t="str">
        <f>LOOKUP(B116,INICIO!A$10:A$109,INICIO!L$10:L$109)</f>
        <v/>
      </c>
      <c r="C118" s="72" t="s">
        <v>109</v>
      </c>
      <c r="D118" s="73"/>
      <c r="E118" s="73"/>
      <c r="F118" s="73"/>
      <c r="G118" s="76"/>
      <c r="H118" s="104">
        <f t="shared" si="59"/>
        <v>0</v>
      </c>
      <c r="I118" s="3" t="str">
        <f t="shared" ref="I118" si="150">IF(B119,CONCATENATE(C118,D118," ",E118,F118,G118),"")</f>
        <v/>
      </c>
    </row>
    <row r="119" spans="2:9" hidden="1" x14ac:dyDescent="0.25">
      <c r="B119" s="102">
        <f>LOOKUP(B116,INICIO!A$10:A$109,INICIO!J$10:J$109)</f>
        <v>0</v>
      </c>
      <c r="C119" s="72" t="s">
        <v>110</v>
      </c>
      <c r="D119" s="73" t="str">
        <f t="shared" ref="D119" si="151">CONCATENATE(E116,F116)</f>
        <v/>
      </c>
      <c r="E119" s="73" t="s">
        <v>73</v>
      </c>
      <c r="F119" s="73"/>
      <c r="G119" s="76"/>
      <c r="H119" s="104">
        <f t="shared" si="59"/>
        <v>0</v>
      </c>
      <c r="I119" s="3" t="str">
        <f t="shared" ref="I119" si="152">IF(B119,CONCATENATE(C119,D119," ",E119,F119,G119),"")</f>
        <v/>
      </c>
    </row>
    <row r="120" spans="2:9" hidden="1" x14ac:dyDescent="0.25">
      <c r="B120" s="102">
        <f>LOOKUP(B116,INICIO!A$10:A$109,INICIO!E$10:E$109)</f>
        <v>0</v>
      </c>
      <c r="C120" s="72" t="s">
        <v>111</v>
      </c>
      <c r="D120" s="73" t="str">
        <f t="shared" ref="D120" si="153">CONCATENATE(E116,F116)</f>
        <v/>
      </c>
      <c r="E120" s="73" t="s">
        <v>74</v>
      </c>
      <c r="F120" s="73"/>
      <c r="G120" s="76"/>
      <c r="H120" s="104">
        <f t="shared" si="59"/>
        <v>0</v>
      </c>
      <c r="I120" s="3" t="str">
        <f t="shared" ref="I120" si="154">IF(B119,CONCATENATE(C120,D120," ",E120,F120,G120),"")</f>
        <v/>
      </c>
    </row>
    <row r="121" spans="2:9" hidden="1" x14ac:dyDescent="0.25">
      <c r="B121" s="103"/>
      <c r="C121" s="74" t="s">
        <v>112</v>
      </c>
      <c r="D121" s="40"/>
      <c r="E121" s="40"/>
      <c r="F121" s="40"/>
      <c r="G121" s="77"/>
      <c r="H121" s="104">
        <f t="shared" si="59"/>
        <v>0</v>
      </c>
      <c r="I121" s="3" t="str">
        <f t="shared" ref="I121" si="155">IF(B119,CONCATENATE(C121,D121," ",E121,F121,G121),"")</f>
        <v/>
      </c>
    </row>
    <row r="122" spans="2:9" hidden="1" x14ac:dyDescent="0.25">
      <c r="H122" s="104">
        <f t="shared" si="59"/>
        <v>0</v>
      </c>
      <c r="I122" s="3" t="str">
        <f t="shared" ref="I122" si="156">IF(ISTEXT(B127),CONCATENATE("    // ",B127),"")</f>
        <v/>
      </c>
    </row>
    <row r="123" spans="2:9" hidden="1" x14ac:dyDescent="0.25">
      <c r="B123" s="101">
        <v>18</v>
      </c>
      <c r="C123" s="70" t="s">
        <v>107</v>
      </c>
      <c r="D123" s="71" t="str">
        <f t="shared" ref="D123" si="157">B125</f>
        <v/>
      </c>
      <c r="E123" s="71" t="str">
        <f t="shared" ref="E123" si="158">LOWER(E124)</f>
        <v/>
      </c>
      <c r="F123" s="71"/>
      <c r="G123" s="75" t="s">
        <v>72</v>
      </c>
      <c r="H123" s="104">
        <f t="shared" si="59"/>
        <v>0</v>
      </c>
      <c r="I123" s="3" t="str">
        <f t="shared" ref="I123" si="159">IF(B126,CONCATENATE(C123,D123," ",E123,F123,G123),"")</f>
        <v/>
      </c>
    </row>
    <row r="124" spans="2:9" hidden="1" x14ac:dyDescent="0.25">
      <c r="B124" s="102" t="str">
        <f>LOOKUP(B123,INICIO!A$10:A$109,INICIO!K$10:K$109)</f>
        <v/>
      </c>
      <c r="C124" s="72" t="s">
        <v>108</v>
      </c>
      <c r="D124" s="73" t="str">
        <f t="shared" ref="D124" si="160">B125</f>
        <v/>
      </c>
      <c r="E124" s="73" t="str">
        <f t="shared" ref="E124" si="161">B124</f>
        <v/>
      </c>
      <c r="F124" s="73"/>
      <c r="G124" s="76"/>
      <c r="H124" s="104">
        <f t="shared" si="59"/>
        <v>0</v>
      </c>
      <c r="I124" s="3" t="str">
        <f t="shared" ref="I124" si="162">IF(B126,CONCATENATE(C124,D124," ",E124,F124,G124),"")</f>
        <v/>
      </c>
    </row>
    <row r="125" spans="2:9" hidden="1" x14ac:dyDescent="0.25">
      <c r="B125" s="102" t="str">
        <f>LOOKUP(B123,INICIO!A$10:A$109,INICIO!L$10:L$109)</f>
        <v/>
      </c>
      <c r="C125" s="72" t="s">
        <v>109</v>
      </c>
      <c r="D125" s="73"/>
      <c r="E125" s="73"/>
      <c r="F125" s="73"/>
      <c r="G125" s="76"/>
      <c r="H125" s="104">
        <f t="shared" si="59"/>
        <v>0</v>
      </c>
      <c r="I125" s="3" t="str">
        <f t="shared" ref="I125" si="163">IF(B126,CONCATENATE(C125,D125," ",E125,F125,G125),"")</f>
        <v/>
      </c>
    </row>
    <row r="126" spans="2:9" hidden="1" x14ac:dyDescent="0.25">
      <c r="B126" s="102">
        <f>LOOKUP(B123,INICIO!A$10:A$109,INICIO!J$10:J$109)</f>
        <v>0</v>
      </c>
      <c r="C126" s="72" t="s">
        <v>110</v>
      </c>
      <c r="D126" s="73" t="str">
        <f t="shared" ref="D126" si="164">CONCATENATE(E123,F123)</f>
        <v/>
      </c>
      <c r="E126" s="73" t="s">
        <v>73</v>
      </c>
      <c r="F126" s="73"/>
      <c r="G126" s="76"/>
      <c r="H126" s="104">
        <f t="shared" si="59"/>
        <v>0</v>
      </c>
      <c r="I126" s="3" t="str">
        <f t="shared" ref="I126" si="165">IF(B126,CONCATENATE(C126,D126," ",E126,F126,G126),"")</f>
        <v/>
      </c>
    </row>
    <row r="127" spans="2:9" hidden="1" x14ac:dyDescent="0.25">
      <c r="B127" s="102">
        <f>LOOKUP(B123,INICIO!A$10:A$109,INICIO!E$10:E$109)</f>
        <v>0</v>
      </c>
      <c r="C127" s="72" t="s">
        <v>111</v>
      </c>
      <c r="D127" s="73" t="str">
        <f t="shared" ref="D127" si="166">CONCATENATE(E123,F123)</f>
        <v/>
      </c>
      <c r="E127" s="73" t="s">
        <v>74</v>
      </c>
      <c r="F127" s="73"/>
      <c r="G127" s="76"/>
      <c r="H127" s="104">
        <f t="shared" si="59"/>
        <v>0</v>
      </c>
      <c r="I127" s="3" t="str">
        <f t="shared" ref="I127" si="167">IF(B126,CONCATENATE(C127,D127," ",E127,F127,G127),"")</f>
        <v/>
      </c>
    </row>
    <row r="128" spans="2:9" hidden="1" x14ac:dyDescent="0.25">
      <c r="B128" s="103"/>
      <c r="C128" s="74" t="s">
        <v>112</v>
      </c>
      <c r="D128" s="40"/>
      <c r="E128" s="40"/>
      <c r="F128" s="40"/>
      <c r="G128" s="77"/>
      <c r="H128" s="104">
        <f t="shared" si="59"/>
        <v>0</v>
      </c>
      <c r="I128" s="3" t="str">
        <f t="shared" ref="I128" si="168">IF(B126,CONCATENATE(C128,D128," ",E128,F128,G128),"")</f>
        <v/>
      </c>
    </row>
    <row r="129" spans="2:9" hidden="1" x14ac:dyDescent="0.25">
      <c r="H129" s="104">
        <f t="shared" si="59"/>
        <v>0</v>
      </c>
      <c r="I129" s="3" t="str">
        <f t="shared" ref="I129" si="169">IF(ISTEXT(B134),CONCATENATE("    // ",B134),"")</f>
        <v/>
      </c>
    </row>
    <row r="130" spans="2:9" hidden="1" x14ac:dyDescent="0.25">
      <c r="B130" s="101">
        <v>19</v>
      </c>
      <c r="C130" s="70" t="s">
        <v>107</v>
      </c>
      <c r="D130" s="71" t="str">
        <f t="shared" ref="D130" si="170">B132</f>
        <v/>
      </c>
      <c r="E130" s="71" t="str">
        <f t="shared" ref="E130" si="171">LOWER(E131)</f>
        <v/>
      </c>
      <c r="F130" s="71"/>
      <c r="G130" s="75" t="s">
        <v>72</v>
      </c>
      <c r="H130" s="104">
        <f t="shared" si="59"/>
        <v>0</v>
      </c>
      <c r="I130" s="3" t="str">
        <f t="shared" ref="I130" si="172">IF(B133,CONCATENATE(C130,D130," ",E130,F130,G130),"")</f>
        <v/>
      </c>
    </row>
    <row r="131" spans="2:9" hidden="1" x14ac:dyDescent="0.25">
      <c r="B131" s="102" t="str">
        <f>LOOKUP(B130,INICIO!A$10:A$109,INICIO!K$10:K$109)</f>
        <v/>
      </c>
      <c r="C131" s="72" t="s">
        <v>108</v>
      </c>
      <c r="D131" s="73" t="str">
        <f t="shared" ref="D131" si="173">B132</f>
        <v/>
      </c>
      <c r="E131" s="73" t="str">
        <f t="shared" ref="E131" si="174">B131</f>
        <v/>
      </c>
      <c r="F131" s="73"/>
      <c r="G131" s="76"/>
      <c r="H131" s="104">
        <f t="shared" si="59"/>
        <v>0</v>
      </c>
      <c r="I131" s="3" t="str">
        <f t="shared" ref="I131" si="175">IF(B133,CONCATENATE(C131,D131," ",E131,F131,G131),"")</f>
        <v/>
      </c>
    </row>
    <row r="132" spans="2:9" hidden="1" x14ac:dyDescent="0.25">
      <c r="B132" s="102" t="str">
        <f>LOOKUP(B130,INICIO!A$10:A$109,INICIO!L$10:L$109)</f>
        <v/>
      </c>
      <c r="C132" s="72" t="s">
        <v>109</v>
      </c>
      <c r="D132" s="73"/>
      <c r="E132" s="73"/>
      <c r="F132" s="73"/>
      <c r="G132" s="76"/>
      <c r="H132" s="104">
        <f t="shared" ref="H132:H195" si="176">IF(I132&lt;&gt;"",1,0)</f>
        <v>0</v>
      </c>
      <c r="I132" s="3" t="str">
        <f t="shared" ref="I132" si="177">IF(B133,CONCATENATE(C132,D132," ",E132,F132,G132),"")</f>
        <v/>
      </c>
    </row>
    <row r="133" spans="2:9" hidden="1" x14ac:dyDescent="0.25">
      <c r="B133" s="102">
        <f>LOOKUP(B130,INICIO!A$10:A$109,INICIO!J$10:J$109)</f>
        <v>0</v>
      </c>
      <c r="C133" s="72" t="s">
        <v>110</v>
      </c>
      <c r="D133" s="73" t="str">
        <f t="shared" ref="D133" si="178">CONCATENATE(E130,F130)</f>
        <v/>
      </c>
      <c r="E133" s="73" t="s">
        <v>73</v>
      </c>
      <c r="F133" s="73"/>
      <c r="G133" s="76"/>
      <c r="H133" s="104">
        <f t="shared" si="176"/>
        <v>0</v>
      </c>
      <c r="I133" s="3" t="str">
        <f t="shared" ref="I133" si="179">IF(B133,CONCATENATE(C133,D133," ",E133,F133,G133),"")</f>
        <v/>
      </c>
    </row>
    <row r="134" spans="2:9" hidden="1" x14ac:dyDescent="0.25">
      <c r="B134" s="102">
        <f>LOOKUP(B130,INICIO!A$10:A$109,INICIO!E$10:E$109)</f>
        <v>0</v>
      </c>
      <c r="C134" s="72" t="s">
        <v>111</v>
      </c>
      <c r="D134" s="73" t="str">
        <f t="shared" ref="D134" si="180">CONCATENATE(E130,F130)</f>
        <v/>
      </c>
      <c r="E134" s="73" t="s">
        <v>74</v>
      </c>
      <c r="F134" s="73"/>
      <c r="G134" s="76"/>
      <c r="H134" s="104">
        <f t="shared" si="176"/>
        <v>0</v>
      </c>
      <c r="I134" s="3" t="str">
        <f t="shared" ref="I134" si="181">IF(B133,CONCATENATE(C134,D134," ",E134,F134,G134),"")</f>
        <v/>
      </c>
    </row>
    <row r="135" spans="2:9" hidden="1" x14ac:dyDescent="0.25">
      <c r="B135" s="103"/>
      <c r="C135" s="74" t="s">
        <v>112</v>
      </c>
      <c r="D135" s="40"/>
      <c r="E135" s="40"/>
      <c r="F135" s="40"/>
      <c r="G135" s="77"/>
      <c r="H135" s="104">
        <f t="shared" si="176"/>
        <v>0</v>
      </c>
      <c r="I135" s="3" t="str">
        <f t="shared" ref="I135" si="182">IF(B133,CONCATENATE(C135,D135," ",E135,F135,G135),"")</f>
        <v/>
      </c>
    </row>
    <row r="136" spans="2:9" hidden="1" x14ac:dyDescent="0.25">
      <c r="H136" s="104">
        <f t="shared" si="176"/>
        <v>0</v>
      </c>
      <c r="I136" s="3" t="str">
        <f t="shared" ref="I136" si="183">IF(ISTEXT(B141),CONCATENATE("    // ",B141),"")</f>
        <v/>
      </c>
    </row>
    <row r="137" spans="2:9" hidden="1" x14ac:dyDescent="0.25">
      <c r="B137" s="101">
        <v>20</v>
      </c>
      <c r="C137" s="70" t="s">
        <v>107</v>
      </c>
      <c r="D137" s="71" t="str">
        <f t="shared" ref="D137" si="184">B139</f>
        <v/>
      </c>
      <c r="E137" s="71" t="str">
        <f t="shared" ref="E137" si="185">LOWER(E138)</f>
        <v/>
      </c>
      <c r="F137" s="71"/>
      <c r="G137" s="75" t="s">
        <v>72</v>
      </c>
      <c r="H137" s="104">
        <f t="shared" si="176"/>
        <v>0</v>
      </c>
      <c r="I137" s="3" t="str">
        <f t="shared" ref="I137" si="186">IF(B140,CONCATENATE(C137,D137," ",E137,F137,G137),"")</f>
        <v/>
      </c>
    </row>
    <row r="138" spans="2:9" hidden="1" x14ac:dyDescent="0.25">
      <c r="B138" s="102" t="str">
        <f>LOOKUP(B137,INICIO!A$10:A$109,INICIO!K$10:K$109)</f>
        <v/>
      </c>
      <c r="C138" s="72" t="s">
        <v>108</v>
      </c>
      <c r="D138" s="73" t="str">
        <f t="shared" ref="D138" si="187">B139</f>
        <v/>
      </c>
      <c r="E138" s="73" t="str">
        <f t="shared" ref="E138" si="188">B138</f>
        <v/>
      </c>
      <c r="F138" s="73"/>
      <c r="G138" s="76"/>
      <c r="H138" s="104">
        <f t="shared" si="176"/>
        <v>0</v>
      </c>
      <c r="I138" s="3" t="str">
        <f t="shared" ref="I138" si="189">IF(B140,CONCATENATE(C138,D138," ",E138,F138,G138),"")</f>
        <v/>
      </c>
    </row>
    <row r="139" spans="2:9" hidden="1" x14ac:dyDescent="0.25">
      <c r="B139" s="102" t="str">
        <f>LOOKUP(B137,INICIO!A$10:A$109,INICIO!L$10:L$109)</f>
        <v/>
      </c>
      <c r="C139" s="72" t="s">
        <v>109</v>
      </c>
      <c r="D139" s="73"/>
      <c r="E139" s="73"/>
      <c r="F139" s="73"/>
      <c r="G139" s="76"/>
      <c r="H139" s="104">
        <f t="shared" si="176"/>
        <v>0</v>
      </c>
      <c r="I139" s="3" t="str">
        <f t="shared" ref="I139" si="190">IF(B140,CONCATENATE(C139,D139," ",E139,F139,G139),"")</f>
        <v/>
      </c>
    </row>
    <row r="140" spans="2:9" hidden="1" x14ac:dyDescent="0.25">
      <c r="B140" s="102">
        <f>LOOKUP(B137,INICIO!A$10:A$109,INICIO!J$10:J$109)</f>
        <v>0</v>
      </c>
      <c r="C140" s="72" t="s">
        <v>110</v>
      </c>
      <c r="D140" s="73" t="str">
        <f t="shared" ref="D140" si="191">CONCATENATE(E137,F137)</f>
        <v/>
      </c>
      <c r="E140" s="73" t="s">
        <v>73</v>
      </c>
      <c r="F140" s="73"/>
      <c r="G140" s="76"/>
      <c r="H140" s="104">
        <f t="shared" si="176"/>
        <v>0</v>
      </c>
      <c r="I140" s="3" t="str">
        <f t="shared" ref="I140" si="192">IF(B140,CONCATENATE(C140,D140," ",E140,F140,G140),"")</f>
        <v/>
      </c>
    </row>
    <row r="141" spans="2:9" hidden="1" x14ac:dyDescent="0.25">
      <c r="B141" s="102">
        <f>LOOKUP(B137,INICIO!A$10:A$109,INICIO!E$10:E$109)</f>
        <v>0</v>
      </c>
      <c r="C141" s="72" t="s">
        <v>111</v>
      </c>
      <c r="D141" s="73" t="str">
        <f t="shared" ref="D141" si="193">CONCATENATE(E137,F137)</f>
        <v/>
      </c>
      <c r="E141" s="73" t="s">
        <v>74</v>
      </c>
      <c r="F141" s="73"/>
      <c r="G141" s="76"/>
      <c r="H141" s="104">
        <f t="shared" si="176"/>
        <v>0</v>
      </c>
      <c r="I141" s="3" t="str">
        <f t="shared" ref="I141" si="194">IF(B140,CONCATENATE(C141,D141," ",E141,F141,G141),"")</f>
        <v/>
      </c>
    </row>
    <row r="142" spans="2:9" hidden="1" x14ac:dyDescent="0.25">
      <c r="B142" s="103"/>
      <c r="C142" s="74" t="s">
        <v>112</v>
      </c>
      <c r="D142" s="40"/>
      <c r="E142" s="40"/>
      <c r="F142" s="40"/>
      <c r="G142" s="77"/>
      <c r="H142" s="104">
        <f t="shared" si="176"/>
        <v>0</v>
      </c>
      <c r="I142" s="3" t="str">
        <f t="shared" ref="I142" si="195">IF(B140,CONCATENATE(C142,D142," ",E142,F142,G142),"")</f>
        <v/>
      </c>
    </row>
    <row r="143" spans="2:9" hidden="1" x14ac:dyDescent="0.25">
      <c r="H143" s="104">
        <f t="shared" si="176"/>
        <v>0</v>
      </c>
      <c r="I143" s="3" t="str">
        <f t="shared" ref="I143" si="196">IF(ISTEXT(B148),CONCATENATE("    // ",B148),"")</f>
        <v/>
      </c>
    </row>
    <row r="144" spans="2:9" hidden="1" x14ac:dyDescent="0.25">
      <c r="B144" s="101">
        <v>21</v>
      </c>
      <c r="C144" s="70" t="s">
        <v>107</v>
      </c>
      <c r="D144" s="71" t="str">
        <f t="shared" ref="D144" si="197">B146</f>
        <v/>
      </c>
      <c r="E144" s="71" t="str">
        <f t="shared" ref="E144" si="198">LOWER(E145)</f>
        <v/>
      </c>
      <c r="F144" s="71"/>
      <c r="G144" s="75" t="s">
        <v>72</v>
      </c>
      <c r="H144" s="104">
        <f t="shared" si="176"/>
        <v>0</v>
      </c>
      <c r="I144" s="3" t="str">
        <f t="shared" ref="I144" si="199">IF(B147,CONCATENATE(C144,D144," ",E144,F144,G144),"")</f>
        <v/>
      </c>
    </row>
    <row r="145" spans="2:9" hidden="1" x14ac:dyDescent="0.25">
      <c r="B145" s="102" t="str">
        <f>LOOKUP(B144,INICIO!A$10:A$109,INICIO!K$10:K$109)</f>
        <v/>
      </c>
      <c r="C145" s="72" t="s">
        <v>108</v>
      </c>
      <c r="D145" s="73" t="str">
        <f t="shared" ref="D145" si="200">B146</f>
        <v/>
      </c>
      <c r="E145" s="73" t="str">
        <f t="shared" ref="E145" si="201">B145</f>
        <v/>
      </c>
      <c r="F145" s="73"/>
      <c r="G145" s="76"/>
      <c r="H145" s="104">
        <f t="shared" si="176"/>
        <v>0</v>
      </c>
      <c r="I145" s="3" t="str">
        <f t="shared" ref="I145" si="202">IF(B147,CONCATENATE(C145,D145," ",E145,F145,G145),"")</f>
        <v/>
      </c>
    </row>
    <row r="146" spans="2:9" hidden="1" x14ac:dyDescent="0.25">
      <c r="B146" s="102" t="str">
        <f>LOOKUP(B144,INICIO!A$10:A$109,INICIO!L$10:L$109)</f>
        <v/>
      </c>
      <c r="C146" s="72" t="s">
        <v>109</v>
      </c>
      <c r="D146" s="73"/>
      <c r="E146" s="73"/>
      <c r="F146" s="73"/>
      <c r="G146" s="76"/>
      <c r="H146" s="104">
        <f t="shared" si="176"/>
        <v>0</v>
      </c>
      <c r="I146" s="3" t="str">
        <f t="shared" ref="I146" si="203">IF(B147,CONCATENATE(C146,D146," ",E146,F146,G146),"")</f>
        <v/>
      </c>
    </row>
    <row r="147" spans="2:9" hidden="1" x14ac:dyDescent="0.25">
      <c r="B147" s="102">
        <f>LOOKUP(B144,INICIO!A$10:A$109,INICIO!J$10:J$109)</f>
        <v>0</v>
      </c>
      <c r="C147" s="72" t="s">
        <v>110</v>
      </c>
      <c r="D147" s="73" t="str">
        <f t="shared" ref="D147" si="204">CONCATENATE(E144,F144)</f>
        <v/>
      </c>
      <c r="E147" s="73" t="s">
        <v>73</v>
      </c>
      <c r="F147" s="73"/>
      <c r="G147" s="76"/>
      <c r="H147" s="104">
        <f t="shared" si="176"/>
        <v>0</v>
      </c>
      <c r="I147" s="3" t="str">
        <f t="shared" ref="I147" si="205">IF(B147,CONCATENATE(C147,D147," ",E147,F147,G147),"")</f>
        <v/>
      </c>
    </row>
    <row r="148" spans="2:9" hidden="1" x14ac:dyDescent="0.25">
      <c r="B148" s="102">
        <f>LOOKUP(B144,INICIO!A$10:A$109,INICIO!E$10:E$109)</f>
        <v>0</v>
      </c>
      <c r="C148" s="72" t="s">
        <v>111</v>
      </c>
      <c r="D148" s="73" t="str">
        <f t="shared" ref="D148" si="206">CONCATENATE(E144,F144)</f>
        <v/>
      </c>
      <c r="E148" s="73" t="s">
        <v>74</v>
      </c>
      <c r="F148" s="73"/>
      <c r="G148" s="76"/>
      <c r="H148" s="104">
        <f t="shared" si="176"/>
        <v>0</v>
      </c>
      <c r="I148" s="3" t="str">
        <f t="shared" ref="I148" si="207">IF(B147,CONCATENATE(C148,D148," ",E148,F148,G148),"")</f>
        <v/>
      </c>
    </row>
    <row r="149" spans="2:9" hidden="1" x14ac:dyDescent="0.25">
      <c r="B149" s="103"/>
      <c r="C149" s="74" t="s">
        <v>112</v>
      </c>
      <c r="D149" s="40"/>
      <c r="E149" s="40"/>
      <c r="F149" s="40"/>
      <c r="G149" s="77"/>
      <c r="H149" s="104">
        <f t="shared" si="176"/>
        <v>0</v>
      </c>
      <c r="I149" s="3" t="str">
        <f t="shared" ref="I149" si="208">IF(B147,CONCATENATE(C149,D149," ",E149,F149,G149),"")</f>
        <v/>
      </c>
    </row>
    <row r="150" spans="2:9" hidden="1" x14ac:dyDescent="0.25">
      <c r="H150" s="104">
        <f t="shared" si="176"/>
        <v>0</v>
      </c>
      <c r="I150" s="3" t="str">
        <f t="shared" ref="I150" si="209">IF(ISTEXT(B155),CONCATENATE("    // ",B155),"")</f>
        <v/>
      </c>
    </row>
    <row r="151" spans="2:9" hidden="1" x14ac:dyDescent="0.25">
      <c r="B151" s="101">
        <v>22</v>
      </c>
      <c r="C151" s="70" t="s">
        <v>107</v>
      </c>
      <c r="D151" s="71" t="str">
        <f t="shared" ref="D151" si="210">B153</f>
        <v/>
      </c>
      <c r="E151" s="71" t="str">
        <f t="shared" ref="E151" si="211">LOWER(E152)</f>
        <v/>
      </c>
      <c r="F151" s="71"/>
      <c r="G151" s="75" t="s">
        <v>72</v>
      </c>
      <c r="H151" s="104">
        <f t="shared" si="176"/>
        <v>0</v>
      </c>
      <c r="I151" s="3" t="str">
        <f t="shared" ref="I151" si="212">IF(B154,CONCATENATE(C151,D151," ",E151,F151,G151),"")</f>
        <v/>
      </c>
    </row>
    <row r="152" spans="2:9" hidden="1" x14ac:dyDescent="0.25">
      <c r="B152" s="102" t="str">
        <f>LOOKUP(B151,INICIO!A$10:A$109,INICIO!K$10:K$109)</f>
        <v/>
      </c>
      <c r="C152" s="72" t="s">
        <v>108</v>
      </c>
      <c r="D152" s="73" t="str">
        <f t="shared" ref="D152" si="213">B153</f>
        <v/>
      </c>
      <c r="E152" s="73" t="str">
        <f t="shared" ref="E152" si="214">B152</f>
        <v/>
      </c>
      <c r="F152" s="73"/>
      <c r="G152" s="76"/>
      <c r="H152" s="104">
        <f t="shared" si="176"/>
        <v>0</v>
      </c>
      <c r="I152" s="3" t="str">
        <f t="shared" ref="I152" si="215">IF(B154,CONCATENATE(C152,D152," ",E152,F152,G152),"")</f>
        <v/>
      </c>
    </row>
    <row r="153" spans="2:9" hidden="1" x14ac:dyDescent="0.25">
      <c r="B153" s="102" t="str">
        <f>LOOKUP(B151,INICIO!A$10:A$109,INICIO!L$10:L$109)</f>
        <v/>
      </c>
      <c r="C153" s="72" t="s">
        <v>109</v>
      </c>
      <c r="D153" s="73"/>
      <c r="E153" s="73"/>
      <c r="F153" s="73"/>
      <c r="G153" s="76"/>
      <c r="H153" s="104">
        <f t="shared" si="176"/>
        <v>0</v>
      </c>
      <c r="I153" s="3" t="str">
        <f t="shared" ref="I153" si="216">IF(B154,CONCATENATE(C153,D153," ",E153,F153,G153),"")</f>
        <v/>
      </c>
    </row>
    <row r="154" spans="2:9" hidden="1" x14ac:dyDescent="0.25">
      <c r="B154" s="102">
        <f>LOOKUP(B151,INICIO!A$10:A$109,INICIO!J$10:J$109)</f>
        <v>0</v>
      </c>
      <c r="C154" s="72" t="s">
        <v>110</v>
      </c>
      <c r="D154" s="73" t="str">
        <f t="shared" ref="D154" si="217">CONCATENATE(E151,F151)</f>
        <v/>
      </c>
      <c r="E154" s="73" t="s">
        <v>73</v>
      </c>
      <c r="F154" s="73"/>
      <c r="G154" s="76"/>
      <c r="H154" s="104">
        <f t="shared" si="176"/>
        <v>0</v>
      </c>
      <c r="I154" s="3" t="str">
        <f t="shared" ref="I154" si="218">IF(B154,CONCATENATE(C154,D154," ",E154,F154,G154),"")</f>
        <v/>
      </c>
    </row>
    <row r="155" spans="2:9" hidden="1" x14ac:dyDescent="0.25">
      <c r="B155" s="102">
        <f>LOOKUP(B151,INICIO!A$10:A$109,INICIO!E$10:E$109)</f>
        <v>0</v>
      </c>
      <c r="C155" s="72" t="s">
        <v>111</v>
      </c>
      <c r="D155" s="73" t="str">
        <f t="shared" ref="D155" si="219">CONCATENATE(E151,F151)</f>
        <v/>
      </c>
      <c r="E155" s="73" t="s">
        <v>74</v>
      </c>
      <c r="F155" s="73"/>
      <c r="G155" s="76"/>
      <c r="H155" s="104">
        <f t="shared" si="176"/>
        <v>0</v>
      </c>
      <c r="I155" s="3" t="str">
        <f t="shared" ref="I155" si="220">IF(B154,CONCATENATE(C155,D155," ",E155,F155,G155),"")</f>
        <v/>
      </c>
    </row>
    <row r="156" spans="2:9" hidden="1" x14ac:dyDescent="0.25">
      <c r="B156" s="103"/>
      <c r="C156" s="74" t="s">
        <v>112</v>
      </c>
      <c r="D156" s="40"/>
      <c r="E156" s="40"/>
      <c r="F156" s="40"/>
      <c r="G156" s="77"/>
      <c r="H156" s="104">
        <f t="shared" si="176"/>
        <v>0</v>
      </c>
      <c r="I156" s="3" t="str">
        <f t="shared" ref="I156" si="221">IF(B154,CONCATENATE(C156,D156," ",E156,F156,G156),"")</f>
        <v/>
      </c>
    </row>
    <row r="157" spans="2:9" hidden="1" x14ac:dyDescent="0.25">
      <c r="H157" s="104">
        <f t="shared" si="176"/>
        <v>0</v>
      </c>
      <c r="I157" s="3" t="str">
        <f t="shared" ref="I157" si="222">IF(ISTEXT(B162),CONCATENATE("    // ",B162),"")</f>
        <v/>
      </c>
    </row>
    <row r="158" spans="2:9" hidden="1" x14ac:dyDescent="0.25">
      <c r="B158" s="101">
        <v>23</v>
      </c>
      <c r="C158" s="70" t="s">
        <v>107</v>
      </c>
      <c r="D158" s="71" t="str">
        <f t="shared" ref="D158" si="223">B160</f>
        <v/>
      </c>
      <c r="E158" s="71" t="str">
        <f t="shared" ref="E158" si="224">LOWER(E159)</f>
        <v/>
      </c>
      <c r="F158" s="71"/>
      <c r="G158" s="75" t="s">
        <v>72</v>
      </c>
      <c r="H158" s="104">
        <f t="shared" si="176"/>
        <v>0</v>
      </c>
      <c r="I158" s="3" t="str">
        <f t="shared" ref="I158" si="225">IF(B161,CONCATENATE(C158,D158," ",E158,F158,G158),"")</f>
        <v/>
      </c>
    </row>
    <row r="159" spans="2:9" hidden="1" x14ac:dyDescent="0.25">
      <c r="B159" s="102" t="str">
        <f>LOOKUP(B158,INICIO!A$10:A$109,INICIO!K$10:K$109)</f>
        <v/>
      </c>
      <c r="C159" s="72" t="s">
        <v>108</v>
      </c>
      <c r="D159" s="73" t="str">
        <f t="shared" ref="D159" si="226">B160</f>
        <v/>
      </c>
      <c r="E159" s="73" t="str">
        <f t="shared" ref="E159" si="227">B159</f>
        <v/>
      </c>
      <c r="F159" s="73"/>
      <c r="G159" s="76"/>
      <c r="H159" s="104">
        <f t="shared" si="176"/>
        <v>0</v>
      </c>
      <c r="I159" s="3" t="str">
        <f t="shared" ref="I159" si="228">IF(B161,CONCATENATE(C159,D159," ",E159,F159,G159),"")</f>
        <v/>
      </c>
    </row>
    <row r="160" spans="2:9" hidden="1" x14ac:dyDescent="0.25">
      <c r="B160" s="102" t="str">
        <f>LOOKUP(B158,INICIO!A$10:A$109,INICIO!L$10:L$109)</f>
        <v/>
      </c>
      <c r="C160" s="72" t="s">
        <v>109</v>
      </c>
      <c r="D160" s="73"/>
      <c r="E160" s="73"/>
      <c r="F160" s="73"/>
      <c r="G160" s="76"/>
      <c r="H160" s="104">
        <f t="shared" si="176"/>
        <v>0</v>
      </c>
      <c r="I160" s="3" t="str">
        <f t="shared" ref="I160" si="229">IF(B161,CONCATENATE(C160,D160," ",E160,F160,G160),"")</f>
        <v/>
      </c>
    </row>
    <row r="161" spans="2:9" hidden="1" x14ac:dyDescent="0.25">
      <c r="B161" s="102">
        <f>LOOKUP(B158,INICIO!A$10:A$109,INICIO!J$10:J$109)</f>
        <v>0</v>
      </c>
      <c r="C161" s="72" t="s">
        <v>110</v>
      </c>
      <c r="D161" s="73" t="str">
        <f t="shared" ref="D161" si="230">CONCATENATE(E158,F158)</f>
        <v/>
      </c>
      <c r="E161" s="73" t="s">
        <v>73</v>
      </c>
      <c r="F161" s="73"/>
      <c r="G161" s="76"/>
      <c r="H161" s="104">
        <f t="shared" si="176"/>
        <v>0</v>
      </c>
      <c r="I161" s="3" t="str">
        <f t="shared" ref="I161" si="231">IF(B161,CONCATENATE(C161,D161," ",E161,F161,G161),"")</f>
        <v/>
      </c>
    </row>
    <row r="162" spans="2:9" hidden="1" x14ac:dyDescent="0.25">
      <c r="B162" s="102">
        <f>LOOKUP(B158,INICIO!A$10:A$109,INICIO!E$10:E$109)</f>
        <v>0</v>
      </c>
      <c r="C162" s="72" t="s">
        <v>111</v>
      </c>
      <c r="D162" s="73" t="str">
        <f t="shared" ref="D162" si="232">CONCATENATE(E158,F158)</f>
        <v/>
      </c>
      <c r="E162" s="73" t="s">
        <v>74</v>
      </c>
      <c r="F162" s="73"/>
      <c r="G162" s="76"/>
      <c r="H162" s="104">
        <f t="shared" si="176"/>
        <v>0</v>
      </c>
      <c r="I162" s="3" t="str">
        <f t="shared" ref="I162" si="233">IF(B161,CONCATENATE(C162,D162," ",E162,F162,G162),"")</f>
        <v/>
      </c>
    </row>
    <row r="163" spans="2:9" hidden="1" x14ac:dyDescent="0.25">
      <c r="B163" s="103"/>
      <c r="C163" s="74" t="s">
        <v>112</v>
      </c>
      <c r="D163" s="40"/>
      <c r="E163" s="40"/>
      <c r="F163" s="40"/>
      <c r="G163" s="77"/>
      <c r="H163" s="104">
        <f t="shared" si="176"/>
        <v>0</v>
      </c>
      <c r="I163" s="3" t="str">
        <f t="shared" ref="I163" si="234">IF(B161,CONCATENATE(C163,D163," ",E163,F163,G163),"")</f>
        <v/>
      </c>
    </row>
    <row r="164" spans="2:9" hidden="1" x14ac:dyDescent="0.25">
      <c r="H164" s="104">
        <f t="shared" si="176"/>
        <v>0</v>
      </c>
      <c r="I164" s="3" t="str">
        <f t="shared" ref="I164" si="235">IF(ISTEXT(B169),CONCATENATE("    // ",B169),"")</f>
        <v/>
      </c>
    </row>
    <row r="165" spans="2:9" hidden="1" x14ac:dyDescent="0.25">
      <c r="B165" s="101">
        <v>24</v>
      </c>
      <c r="C165" s="70" t="s">
        <v>107</v>
      </c>
      <c r="D165" s="71" t="str">
        <f t="shared" ref="D165" si="236">B167</f>
        <v/>
      </c>
      <c r="E165" s="71" t="str">
        <f t="shared" ref="E165" si="237">LOWER(E166)</f>
        <v/>
      </c>
      <c r="F165" s="71"/>
      <c r="G165" s="75" t="s">
        <v>72</v>
      </c>
      <c r="H165" s="104">
        <f t="shared" si="176"/>
        <v>0</v>
      </c>
      <c r="I165" s="3" t="str">
        <f t="shared" ref="I165" si="238">IF(B168,CONCATENATE(C165,D165," ",E165,F165,G165),"")</f>
        <v/>
      </c>
    </row>
    <row r="166" spans="2:9" hidden="1" x14ac:dyDescent="0.25">
      <c r="B166" s="102" t="str">
        <f>LOOKUP(B165,INICIO!A$10:A$109,INICIO!K$10:K$109)</f>
        <v/>
      </c>
      <c r="C166" s="72" t="s">
        <v>108</v>
      </c>
      <c r="D166" s="73" t="str">
        <f t="shared" ref="D166" si="239">B167</f>
        <v/>
      </c>
      <c r="E166" s="73" t="str">
        <f t="shared" ref="E166" si="240">B166</f>
        <v/>
      </c>
      <c r="F166" s="73"/>
      <c r="G166" s="76"/>
      <c r="H166" s="104">
        <f t="shared" si="176"/>
        <v>0</v>
      </c>
      <c r="I166" s="3" t="str">
        <f t="shared" ref="I166" si="241">IF(B168,CONCATENATE(C166,D166," ",E166,F166,G166),"")</f>
        <v/>
      </c>
    </row>
    <row r="167" spans="2:9" hidden="1" x14ac:dyDescent="0.25">
      <c r="B167" s="102" t="str">
        <f>LOOKUP(B165,INICIO!A$10:A$109,INICIO!L$10:L$109)</f>
        <v/>
      </c>
      <c r="C167" s="72" t="s">
        <v>109</v>
      </c>
      <c r="D167" s="73"/>
      <c r="E167" s="73"/>
      <c r="F167" s="73"/>
      <c r="G167" s="76"/>
      <c r="H167" s="104">
        <f t="shared" si="176"/>
        <v>0</v>
      </c>
      <c r="I167" s="3" t="str">
        <f t="shared" ref="I167" si="242">IF(B168,CONCATENATE(C167,D167," ",E167,F167,G167),"")</f>
        <v/>
      </c>
    </row>
    <row r="168" spans="2:9" hidden="1" x14ac:dyDescent="0.25">
      <c r="B168" s="102">
        <f>LOOKUP(B165,INICIO!A$10:A$109,INICIO!J$10:J$109)</f>
        <v>0</v>
      </c>
      <c r="C168" s="72" t="s">
        <v>110</v>
      </c>
      <c r="D168" s="73" t="str">
        <f t="shared" ref="D168" si="243">CONCATENATE(E165,F165)</f>
        <v/>
      </c>
      <c r="E168" s="73" t="s">
        <v>73</v>
      </c>
      <c r="F168" s="73"/>
      <c r="G168" s="76"/>
      <c r="H168" s="104">
        <f t="shared" si="176"/>
        <v>0</v>
      </c>
      <c r="I168" s="3" t="str">
        <f t="shared" ref="I168" si="244">IF(B168,CONCATENATE(C168,D168," ",E168,F168,G168),"")</f>
        <v/>
      </c>
    </row>
    <row r="169" spans="2:9" hidden="1" x14ac:dyDescent="0.25">
      <c r="B169" s="102">
        <f>LOOKUP(B165,INICIO!A$10:A$109,INICIO!E$10:E$109)</f>
        <v>0</v>
      </c>
      <c r="C169" s="72" t="s">
        <v>111</v>
      </c>
      <c r="D169" s="73" t="str">
        <f t="shared" ref="D169" si="245">CONCATENATE(E165,F165)</f>
        <v/>
      </c>
      <c r="E169" s="73" t="s">
        <v>74</v>
      </c>
      <c r="F169" s="73"/>
      <c r="G169" s="76"/>
      <c r="H169" s="104">
        <f t="shared" si="176"/>
        <v>0</v>
      </c>
      <c r="I169" s="3" t="str">
        <f t="shared" ref="I169" si="246">IF(B168,CONCATENATE(C169,D169," ",E169,F169,G169),"")</f>
        <v/>
      </c>
    </row>
    <row r="170" spans="2:9" hidden="1" x14ac:dyDescent="0.25">
      <c r="B170" s="103"/>
      <c r="C170" s="74" t="s">
        <v>112</v>
      </c>
      <c r="D170" s="40"/>
      <c r="E170" s="40"/>
      <c r="F170" s="40"/>
      <c r="G170" s="77"/>
      <c r="H170" s="104">
        <f t="shared" si="176"/>
        <v>0</v>
      </c>
      <c r="I170" s="3" t="str">
        <f t="shared" ref="I170" si="247">IF(B168,CONCATENATE(C170,D170," ",E170,F170,G170),"")</f>
        <v/>
      </c>
    </row>
    <row r="171" spans="2:9" hidden="1" x14ac:dyDescent="0.25">
      <c r="H171" s="104">
        <f t="shared" si="176"/>
        <v>0</v>
      </c>
      <c r="I171" s="3" t="str">
        <f t="shared" ref="I171" si="248">IF(ISTEXT(B176),CONCATENATE("    // ",B176),"")</f>
        <v/>
      </c>
    </row>
    <row r="172" spans="2:9" hidden="1" x14ac:dyDescent="0.25">
      <c r="B172" s="101">
        <v>25</v>
      </c>
      <c r="C172" s="70" t="s">
        <v>107</v>
      </c>
      <c r="D172" s="71" t="str">
        <f t="shared" ref="D172" si="249">B174</f>
        <v/>
      </c>
      <c r="E172" s="71" t="str">
        <f t="shared" ref="E172" si="250">LOWER(E173)</f>
        <v/>
      </c>
      <c r="F172" s="71"/>
      <c r="G172" s="75" t="s">
        <v>72</v>
      </c>
      <c r="H172" s="104">
        <f t="shared" si="176"/>
        <v>0</v>
      </c>
      <c r="I172" s="3" t="str">
        <f t="shared" ref="I172" si="251">IF(B175,CONCATENATE(C172,D172," ",E172,F172,G172),"")</f>
        <v/>
      </c>
    </row>
    <row r="173" spans="2:9" hidden="1" x14ac:dyDescent="0.25">
      <c r="B173" s="102" t="str">
        <f>LOOKUP(B172,INICIO!A$10:A$109,INICIO!K$10:K$109)</f>
        <v/>
      </c>
      <c r="C173" s="72" t="s">
        <v>108</v>
      </c>
      <c r="D173" s="73" t="str">
        <f t="shared" ref="D173" si="252">B174</f>
        <v/>
      </c>
      <c r="E173" s="73" t="str">
        <f t="shared" ref="E173" si="253">B173</f>
        <v/>
      </c>
      <c r="F173" s="73"/>
      <c r="G173" s="76"/>
      <c r="H173" s="104">
        <f t="shared" si="176"/>
        <v>0</v>
      </c>
      <c r="I173" s="3" t="str">
        <f t="shared" ref="I173" si="254">IF(B175,CONCATENATE(C173,D173," ",E173,F173,G173),"")</f>
        <v/>
      </c>
    </row>
    <row r="174" spans="2:9" hidden="1" x14ac:dyDescent="0.25">
      <c r="B174" s="102" t="str">
        <f>LOOKUP(B172,INICIO!A$10:A$109,INICIO!L$10:L$109)</f>
        <v/>
      </c>
      <c r="C174" s="72" t="s">
        <v>109</v>
      </c>
      <c r="D174" s="73"/>
      <c r="E174" s="73"/>
      <c r="F174" s="73"/>
      <c r="G174" s="76"/>
      <c r="H174" s="104">
        <f t="shared" si="176"/>
        <v>0</v>
      </c>
      <c r="I174" s="3" t="str">
        <f t="shared" ref="I174" si="255">IF(B175,CONCATENATE(C174,D174," ",E174,F174,G174),"")</f>
        <v/>
      </c>
    </row>
    <row r="175" spans="2:9" hidden="1" x14ac:dyDescent="0.25">
      <c r="B175" s="102">
        <f>LOOKUP(B172,INICIO!A$10:A$109,INICIO!J$10:J$109)</f>
        <v>0</v>
      </c>
      <c r="C175" s="72" t="s">
        <v>110</v>
      </c>
      <c r="D175" s="73" t="str">
        <f t="shared" ref="D175" si="256">CONCATENATE(E172,F172)</f>
        <v/>
      </c>
      <c r="E175" s="73" t="s">
        <v>73</v>
      </c>
      <c r="F175" s="73"/>
      <c r="G175" s="76"/>
      <c r="H175" s="104">
        <f t="shared" si="176"/>
        <v>0</v>
      </c>
      <c r="I175" s="3" t="str">
        <f t="shared" ref="I175" si="257">IF(B175,CONCATENATE(C175,D175," ",E175,F175,G175),"")</f>
        <v/>
      </c>
    </row>
    <row r="176" spans="2:9" hidden="1" x14ac:dyDescent="0.25">
      <c r="B176" s="102">
        <f>LOOKUP(B172,INICIO!A$10:A$109,INICIO!E$10:E$109)</f>
        <v>0</v>
      </c>
      <c r="C176" s="72" t="s">
        <v>111</v>
      </c>
      <c r="D176" s="73" t="str">
        <f t="shared" ref="D176" si="258">CONCATENATE(E172,F172)</f>
        <v/>
      </c>
      <c r="E176" s="73" t="s">
        <v>74</v>
      </c>
      <c r="F176" s="73"/>
      <c r="G176" s="76"/>
      <c r="H176" s="104">
        <f t="shared" si="176"/>
        <v>0</v>
      </c>
      <c r="I176" s="3" t="str">
        <f t="shared" ref="I176" si="259">IF(B175,CONCATENATE(C176,D176," ",E176,F176,G176),"")</f>
        <v/>
      </c>
    </row>
    <row r="177" spans="2:9" hidden="1" x14ac:dyDescent="0.25">
      <c r="B177" s="103"/>
      <c r="C177" s="74" t="s">
        <v>112</v>
      </c>
      <c r="D177" s="40"/>
      <c r="E177" s="40"/>
      <c r="F177" s="40"/>
      <c r="G177" s="77"/>
      <c r="H177" s="104">
        <f t="shared" si="176"/>
        <v>0</v>
      </c>
      <c r="I177" s="3" t="str">
        <f t="shared" ref="I177" si="260">IF(B175,CONCATENATE(C177,D177," ",E177,F177,G177),"")</f>
        <v/>
      </c>
    </row>
    <row r="178" spans="2:9" hidden="1" x14ac:dyDescent="0.25">
      <c r="H178" s="104">
        <f t="shared" si="176"/>
        <v>0</v>
      </c>
      <c r="I178" s="3" t="str">
        <f t="shared" ref="I178" si="261">IF(ISTEXT(B183),CONCATENATE("    // ",B183),"")</f>
        <v/>
      </c>
    </row>
    <row r="179" spans="2:9" hidden="1" x14ac:dyDescent="0.25">
      <c r="B179" s="101">
        <v>26</v>
      </c>
      <c r="C179" s="70" t="s">
        <v>107</v>
      </c>
      <c r="D179" s="71" t="str">
        <f t="shared" ref="D179" si="262">B181</f>
        <v/>
      </c>
      <c r="E179" s="71" t="str">
        <f t="shared" ref="E179" si="263">LOWER(E180)</f>
        <v/>
      </c>
      <c r="F179" s="71"/>
      <c r="G179" s="75" t="s">
        <v>72</v>
      </c>
      <c r="H179" s="104">
        <f t="shared" si="176"/>
        <v>0</v>
      </c>
      <c r="I179" s="3" t="str">
        <f t="shared" ref="I179" si="264">IF(B182,CONCATENATE(C179,D179," ",E179,F179,G179),"")</f>
        <v/>
      </c>
    </row>
    <row r="180" spans="2:9" hidden="1" x14ac:dyDescent="0.25">
      <c r="B180" s="102" t="str">
        <f>LOOKUP(B179,INICIO!A$10:A$109,INICIO!K$10:K$109)</f>
        <v/>
      </c>
      <c r="C180" s="72" t="s">
        <v>108</v>
      </c>
      <c r="D180" s="73" t="str">
        <f t="shared" ref="D180" si="265">B181</f>
        <v/>
      </c>
      <c r="E180" s="73" t="str">
        <f t="shared" ref="E180" si="266">B180</f>
        <v/>
      </c>
      <c r="F180" s="73"/>
      <c r="G180" s="76"/>
      <c r="H180" s="104">
        <f t="shared" si="176"/>
        <v>0</v>
      </c>
      <c r="I180" s="3" t="str">
        <f t="shared" ref="I180" si="267">IF(B182,CONCATENATE(C180,D180," ",E180,F180,G180),"")</f>
        <v/>
      </c>
    </row>
    <row r="181" spans="2:9" hidden="1" x14ac:dyDescent="0.25">
      <c r="B181" s="102" t="str">
        <f>LOOKUP(B179,INICIO!A$10:A$109,INICIO!L$10:L$109)</f>
        <v/>
      </c>
      <c r="C181" s="72" t="s">
        <v>109</v>
      </c>
      <c r="D181" s="73"/>
      <c r="E181" s="73"/>
      <c r="F181" s="73"/>
      <c r="G181" s="76"/>
      <c r="H181" s="104">
        <f t="shared" si="176"/>
        <v>0</v>
      </c>
      <c r="I181" s="3" t="str">
        <f t="shared" ref="I181" si="268">IF(B182,CONCATENATE(C181,D181," ",E181,F181,G181),"")</f>
        <v/>
      </c>
    </row>
    <row r="182" spans="2:9" hidden="1" x14ac:dyDescent="0.25">
      <c r="B182" s="102">
        <f>LOOKUP(B179,INICIO!A$10:A$109,INICIO!J$10:J$109)</f>
        <v>0</v>
      </c>
      <c r="C182" s="72" t="s">
        <v>110</v>
      </c>
      <c r="D182" s="73" t="str">
        <f t="shared" ref="D182" si="269">CONCATENATE(E179,F179)</f>
        <v/>
      </c>
      <c r="E182" s="73" t="s">
        <v>73</v>
      </c>
      <c r="F182" s="73"/>
      <c r="G182" s="76"/>
      <c r="H182" s="104">
        <f t="shared" si="176"/>
        <v>0</v>
      </c>
      <c r="I182" s="3" t="str">
        <f t="shared" ref="I182" si="270">IF(B182,CONCATENATE(C182,D182," ",E182,F182,G182),"")</f>
        <v/>
      </c>
    </row>
    <row r="183" spans="2:9" hidden="1" x14ac:dyDescent="0.25">
      <c r="B183" s="102">
        <f>LOOKUP(B179,INICIO!A$10:A$109,INICIO!E$10:E$109)</f>
        <v>0</v>
      </c>
      <c r="C183" s="72" t="s">
        <v>111</v>
      </c>
      <c r="D183" s="73" t="str">
        <f t="shared" ref="D183" si="271">CONCATENATE(E179,F179)</f>
        <v/>
      </c>
      <c r="E183" s="73" t="s">
        <v>74</v>
      </c>
      <c r="F183" s="73"/>
      <c r="G183" s="76"/>
      <c r="H183" s="104">
        <f t="shared" si="176"/>
        <v>0</v>
      </c>
      <c r="I183" s="3" t="str">
        <f t="shared" ref="I183" si="272">IF(B182,CONCATENATE(C183,D183," ",E183,F183,G183),"")</f>
        <v/>
      </c>
    </row>
    <row r="184" spans="2:9" hidden="1" x14ac:dyDescent="0.25">
      <c r="B184" s="103"/>
      <c r="C184" s="74" t="s">
        <v>112</v>
      </c>
      <c r="D184" s="40"/>
      <c r="E184" s="40"/>
      <c r="F184" s="40"/>
      <c r="G184" s="77"/>
      <c r="H184" s="104">
        <f t="shared" si="176"/>
        <v>0</v>
      </c>
      <c r="I184" s="3" t="str">
        <f t="shared" ref="I184" si="273">IF(B182,CONCATENATE(C184,D184," ",E184,F184,G184),"")</f>
        <v/>
      </c>
    </row>
    <row r="185" spans="2:9" hidden="1" x14ac:dyDescent="0.25">
      <c r="H185" s="104">
        <f t="shared" si="176"/>
        <v>0</v>
      </c>
      <c r="I185" s="3" t="str">
        <f t="shared" ref="I185" si="274">IF(ISTEXT(B190),CONCATENATE("    // ",B190),"")</f>
        <v/>
      </c>
    </row>
    <row r="186" spans="2:9" hidden="1" x14ac:dyDescent="0.25">
      <c r="B186" s="101">
        <v>27</v>
      </c>
      <c r="C186" s="70" t="s">
        <v>107</v>
      </c>
      <c r="D186" s="71" t="str">
        <f t="shared" ref="D186" si="275">B188</f>
        <v/>
      </c>
      <c r="E186" s="71" t="str">
        <f t="shared" ref="E186" si="276">LOWER(E187)</f>
        <v/>
      </c>
      <c r="F186" s="71"/>
      <c r="G186" s="75" t="s">
        <v>72</v>
      </c>
      <c r="H186" s="104">
        <f t="shared" si="176"/>
        <v>0</v>
      </c>
      <c r="I186" s="3" t="str">
        <f t="shared" ref="I186" si="277">IF(B189,CONCATENATE(C186,D186," ",E186,F186,G186),"")</f>
        <v/>
      </c>
    </row>
    <row r="187" spans="2:9" hidden="1" x14ac:dyDescent="0.25">
      <c r="B187" s="102" t="str">
        <f>LOOKUP(B186,INICIO!A$10:A$109,INICIO!K$10:K$109)</f>
        <v/>
      </c>
      <c r="C187" s="72" t="s">
        <v>108</v>
      </c>
      <c r="D187" s="73" t="str">
        <f t="shared" ref="D187" si="278">B188</f>
        <v/>
      </c>
      <c r="E187" s="73" t="str">
        <f t="shared" ref="E187" si="279">B187</f>
        <v/>
      </c>
      <c r="F187" s="73"/>
      <c r="G187" s="76"/>
      <c r="H187" s="104">
        <f t="shared" si="176"/>
        <v>0</v>
      </c>
      <c r="I187" s="3" t="str">
        <f t="shared" ref="I187" si="280">IF(B189,CONCATENATE(C187,D187," ",E187,F187,G187),"")</f>
        <v/>
      </c>
    </row>
    <row r="188" spans="2:9" hidden="1" x14ac:dyDescent="0.25">
      <c r="B188" s="102" t="str">
        <f>LOOKUP(B186,INICIO!A$10:A$109,INICIO!L$10:L$109)</f>
        <v/>
      </c>
      <c r="C188" s="72" t="s">
        <v>109</v>
      </c>
      <c r="D188" s="73"/>
      <c r="E188" s="73"/>
      <c r="F188" s="73"/>
      <c r="G188" s="76"/>
      <c r="H188" s="104">
        <f t="shared" si="176"/>
        <v>0</v>
      </c>
      <c r="I188" s="3" t="str">
        <f t="shared" ref="I188" si="281">IF(B189,CONCATENATE(C188,D188," ",E188,F188,G188),"")</f>
        <v/>
      </c>
    </row>
    <row r="189" spans="2:9" hidden="1" x14ac:dyDescent="0.25">
      <c r="B189" s="102">
        <f>LOOKUP(B186,INICIO!A$10:A$109,INICIO!J$10:J$109)</f>
        <v>0</v>
      </c>
      <c r="C189" s="72" t="s">
        <v>110</v>
      </c>
      <c r="D189" s="73" t="str">
        <f t="shared" ref="D189" si="282">CONCATENATE(E186,F186)</f>
        <v/>
      </c>
      <c r="E189" s="73" t="s">
        <v>73</v>
      </c>
      <c r="F189" s="73"/>
      <c r="G189" s="76"/>
      <c r="H189" s="104">
        <f t="shared" si="176"/>
        <v>0</v>
      </c>
      <c r="I189" s="3" t="str">
        <f t="shared" ref="I189" si="283">IF(B189,CONCATENATE(C189,D189," ",E189,F189,G189),"")</f>
        <v/>
      </c>
    </row>
    <row r="190" spans="2:9" hidden="1" x14ac:dyDescent="0.25">
      <c r="B190" s="102">
        <f>LOOKUP(B186,INICIO!A$10:A$109,INICIO!E$10:E$109)</f>
        <v>0</v>
      </c>
      <c r="C190" s="72" t="s">
        <v>111</v>
      </c>
      <c r="D190" s="73" t="str">
        <f t="shared" ref="D190" si="284">CONCATENATE(E186,F186)</f>
        <v/>
      </c>
      <c r="E190" s="73" t="s">
        <v>74</v>
      </c>
      <c r="F190" s="73"/>
      <c r="G190" s="76"/>
      <c r="H190" s="104">
        <f t="shared" si="176"/>
        <v>0</v>
      </c>
      <c r="I190" s="3" t="str">
        <f t="shared" ref="I190" si="285">IF(B189,CONCATENATE(C190,D190," ",E190,F190,G190),"")</f>
        <v/>
      </c>
    </row>
    <row r="191" spans="2:9" hidden="1" x14ac:dyDescent="0.25">
      <c r="B191" s="103"/>
      <c r="C191" s="74" t="s">
        <v>112</v>
      </c>
      <c r="D191" s="40"/>
      <c r="E191" s="40"/>
      <c r="F191" s="40"/>
      <c r="G191" s="77"/>
      <c r="H191" s="104">
        <f t="shared" si="176"/>
        <v>0</v>
      </c>
      <c r="I191" s="3" t="str">
        <f t="shared" ref="I191" si="286">IF(B189,CONCATENATE(C191,D191," ",E191,F191,G191),"")</f>
        <v/>
      </c>
    </row>
    <row r="192" spans="2:9" hidden="1" x14ac:dyDescent="0.25">
      <c r="H192" s="104">
        <f t="shared" si="176"/>
        <v>0</v>
      </c>
      <c r="I192" s="3" t="str">
        <f t="shared" ref="I192" si="287">IF(ISTEXT(B197),CONCATENATE("    // ",B197),"")</f>
        <v/>
      </c>
    </row>
    <row r="193" spans="2:9" hidden="1" x14ac:dyDescent="0.25">
      <c r="B193" s="101">
        <v>28</v>
      </c>
      <c r="C193" s="70" t="s">
        <v>107</v>
      </c>
      <c r="D193" s="71" t="str">
        <f t="shared" ref="D193" si="288">B195</f>
        <v/>
      </c>
      <c r="E193" s="71" t="str">
        <f t="shared" ref="E193" si="289">LOWER(E194)</f>
        <v/>
      </c>
      <c r="F193" s="71"/>
      <c r="G193" s="75" t="s">
        <v>72</v>
      </c>
      <c r="H193" s="104">
        <f t="shared" si="176"/>
        <v>0</v>
      </c>
      <c r="I193" s="3" t="str">
        <f t="shared" ref="I193" si="290">IF(B196,CONCATENATE(C193,D193," ",E193,F193,G193),"")</f>
        <v/>
      </c>
    </row>
    <row r="194" spans="2:9" hidden="1" x14ac:dyDescent="0.25">
      <c r="B194" s="102" t="str">
        <f>LOOKUP(B193,INICIO!A$10:A$109,INICIO!K$10:K$109)</f>
        <v/>
      </c>
      <c r="C194" s="72" t="s">
        <v>108</v>
      </c>
      <c r="D194" s="73" t="str">
        <f t="shared" ref="D194" si="291">B195</f>
        <v/>
      </c>
      <c r="E194" s="73" t="str">
        <f t="shared" ref="E194" si="292">B194</f>
        <v/>
      </c>
      <c r="F194" s="73"/>
      <c r="G194" s="76"/>
      <c r="H194" s="104">
        <f t="shared" si="176"/>
        <v>0</v>
      </c>
      <c r="I194" s="3" t="str">
        <f t="shared" ref="I194" si="293">IF(B196,CONCATENATE(C194,D194," ",E194,F194,G194),"")</f>
        <v/>
      </c>
    </row>
    <row r="195" spans="2:9" hidden="1" x14ac:dyDescent="0.25">
      <c r="B195" s="102" t="str">
        <f>LOOKUP(B193,INICIO!A$10:A$109,INICIO!L$10:L$109)</f>
        <v/>
      </c>
      <c r="C195" s="72" t="s">
        <v>109</v>
      </c>
      <c r="D195" s="73"/>
      <c r="E195" s="73"/>
      <c r="F195" s="73"/>
      <c r="G195" s="76"/>
      <c r="H195" s="104">
        <f t="shared" si="176"/>
        <v>0</v>
      </c>
      <c r="I195" s="3" t="str">
        <f t="shared" ref="I195" si="294">IF(B196,CONCATENATE(C195,D195," ",E195,F195,G195),"")</f>
        <v/>
      </c>
    </row>
    <row r="196" spans="2:9" hidden="1" x14ac:dyDescent="0.25">
      <c r="B196" s="102">
        <f>LOOKUP(B193,INICIO!A$10:A$109,INICIO!J$10:J$109)</f>
        <v>0</v>
      </c>
      <c r="C196" s="72" t="s">
        <v>110</v>
      </c>
      <c r="D196" s="73" t="str">
        <f t="shared" ref="D196" si="295">CONCATENATE(E193,F193)</f>
        <v/>
      </c>
      <c r="E196" s="73" t="s">
        <v>73</v>
      </c>
      <c r="F196" s="73"/>
      <c r="G196" s="76"/>
      <c r="H196" s="104">
        <f t="shared" ref="H196:H259" si="296">IF(I196&lt;&gt;"",1,0)</f>
        <v>0</v>
      </c>
      <c r="I196" s="3" t="str">
        <f t="shared" ref="I196" si="297">IF(B196,CONCATENATE(C196,D196," ",E196,F196,G196),"")</f>
        <v/>
      </c>
    </row>
    <row r="197" spans="2:9" hidden="1" x14ac:dyDescent="0.25">
      <c r="B197" s="102">
        <f>LOOKUP(B193,INICIO!A$10:A$109,INICIO!E$10:E$109)</f>
        <v>0</v>
      </c>
      <c r="C197" s="72" t="s">
        <v>111</v>
      </c>
      <c r="D197" s="73" t="str">
        <f t="shared" ref="D197" si="298">CONCATENATE(E193,F193)</f>
        <v/>
      </c>
      <c r="E197" s="73" t="s">
        <v>74</v>
      </c>
      <c r="F197" s="73"/>
      <c r="G197" s="76"/>
      <c r="H197" s="104">
        <f t="shared" si="296"/>
        <v>0</v>
      </c>
      <c r="I197" s="3" t="str">
        <f t="shared" ref="I197" si="299">IF(B196,CONCATENATE(C197,D197," ",E197,F197,G197),"")</f>
        <v/>
      </c>
    </row>
    <row r="198" spans="2:9" hidden="1" x14ac:dyDescent="0.25">
      <c r="B198" s="103"/>
      <c r="C198" s="74" t="s">
        <v>112</v>
      </c>
      <c r="D198" s="40"/>
      <c r="E198" s="40"/>
      <c r="F198" s="40"/>
      <c r="G198" s="77"/>
      <c r="H198" s="104">
        <f t="shared" si="296"/>
        <v>0</v>
      </c>
      <c r="I198" s="3" t="str">
        <f t="shared" ref="I198" si="300">IF(B196,CONCATENATE(C198,D198," ",E198,F198,G198),"")</f>
        <v/>
      </c>
    </row>
    <row r="199" spans="2:9" hidden="1" x14ac:dyDescent="0.25">
      <c r="H199" s="104">
        <f t="shared" si="296"/>
        <v>0</v>
      </c>
      <c r="I199" s="3" t="str">
        <f t="shared" ref="I199" si="301">IF(ISTEXT(B204),CONCATENATE("    // ",B204),"")</f>
        <v/>
      </c>
    </row>
    <row r="200" spans="2:9" hidden="1" x14ac:dyDescent="0.25">
      <c r="B200" s="101">
        <v>29</v>
      </c>
      <c r="C200" s="70" t="s">
        <v>107</v>
      </c>
      <c r="D200" s="71" t="str">
        <f t="shared" ref="D200" si="302">B202</f>
        <v/>
      </c>
      <c r="E200" s="71" t="str">
        <f t="shared" ref="E200" si="303">LOWER(E201)</f>
        <v/>
      </c>
      <c r="F200" s="71"/>
      <c r="G200" s="75" t="s">
        <v>72</v>
      </c>
      <c r="H200" s="104">
        <f t="shared" si="296"/>
        <v>0</v>
      </c>
      <c r="I200" s="3" t="str">
        <f t="shared" ref="I200" si="304">IF(B203,CONCATENATE(C200,D200," ",E200,F200,G200),"")</f>
        <v/>
      </c>
    </row>
    <row r="201" spans="2:9" hidden="1" x14ac:dyDescent="0.25">
      <c r="B201" s="102" t="str">
        <f>LOOKUP(B200,INICIO!A$10:A$109,INICIO!K$10:K$109)</f>
        <v/>
      </c>
      <c r="C201" s="72" t="s">
        <v>108</v>
      </c>
      <c r="D201" s="73" t="str">
        <f t="shared" ref="D201" si="305">B202</f>
        <v/>
      </c>
      <c r="E201" s="73" t="str">
        <f t="shared" ref="E201" si="306">B201</f>
        <v/>
      </c>
      <c r="F201" s="73"/>
      <c r="G201" s="76"/>
      <c r="H201" s="104">
        <f t="shared" si="296"/>
        <v>0</v>
      </c>
      <c r="I201" s="3" t="str">
        <f t="shared" ref="I201" si="307">IF(B203,CONCATENATE(C201,D201," ",E201,F201,G201),"")</f>
        <v/>
      </c>
    </row>
    <row r="202" spans="2:9" hidden="1" x14ac:dyDescent="0.25">
      <c r="B202" s="102" t="str">
        <f>LOOKUP(B200,INICIO!A$10:A$109,INICIO!L$10:L$109)</f>
        <v/>
      </c>
      <c r="C202" s="72" t="s">
        <v>109</v>
      </c>
      <c r="D202" s="73"/>
      <c r="E202" s="73"/>
      <c r="F202" s="73"/>
      <c r="G202" s="76"/>
      <c r="H202" s="104">
        <f t="shared" si="296"/>
        <v>0</v>
      </c>
      <c r="I202" s="3" t="str">
        <f t="shared" ref="I202" si="308">IF(B203,CONCATENATE(C202,D202," ",E202,F202,G202),"")</f>
        <v/>
      </c>
    </row>
    <row r="203" spans="2:9" hidden="1" x14ac:dyDescent="0.25">
      <c r="B203" s="102">
        <f>LOOKUP(B200,INICIO!A$10:A$109,INICIO!J$10:J$109)</f>
        <v>0</v>
      </c>
      <c r="C203" s="72" t="s">
        <v>110</v>
      </c>
      <c r="D203" s="73" t="str">
        <f t="shared" ref="D203" si="309">CONCATENATE(E200,F200)</f>
        <v/>
      </c>
      <c r="E203" s="73" t="s">
        <v>73</v>
      </c>
      <c r="F203" s="73"/>
      <c r="G203" s="76"/>
      <c r="H203" s="104">
        <f t="shared" si="296"/>
        <v>0</v>
      </c>
      <c r="I203" s="3" t="str">
        <f t="shared" ref="I203" si="310">IF(B203,CONCATENATE(C203,D203," ",E203,F203,G203),"")</f>
        <v/>
      </c>
    </row>
    <row r="204" spans="2:9" hidden="1" x14ac:dyDescent="0.25">
      <c r="B204" s="102">
        <f>LOOKUP(B200,INICIO!A$10:A$109,INICIO!E$10:E$109)</f>
        <v>0</v>
      </c>
      <c r="C204" s="72" t="s">
        <v>111</v>
      </c>
      <c r="D204" s="73" t="str">
        <f t="shared" ref="D204" si="311">CONCATENATE(E200,F200)</f>
        <v/>
      </c>
      <c r="E204" s="73" t="s">
        <v>74</v>
      </c>
      <c r="F204" s="73"/>
      <c r="G204" s="76"/>
      <c r="H204" s="104">
        <f t="shared" si="296"/>
        <v>0</v>
      </c>
      <c r="I204" s="3" t="str">
        <f t="shared" ref="I204" si="312">IF(B203,CONCATENATE(C204,D204," ",E204,F204,G204),"")</f>
        <v/>
      </c>
    </row>
    <row r="205" spans="2:9" hidden="1" x14ac:dyDescent="0.25">
      <c r="B205" s="103"/>
      <c r="C205" s="74" t="s">
        <v>112</v>
      </c>
      <c r="D205" s="40"/>
      <c r="E205" s="40"/>
      <c r="F205" s="40"/>
      <c r="G205" s="77"/>
      <c r="H205" s="104">
        <f t="shared" si="296"/>
        <v>0</v>
      </c>
      <c r="I205" s="3" t="str">
        <f t="shared" ref="I205" si="313">IF(B203,CONCATENATE(C205,D205," ",E205,F205,G205),"")</f>
        <v/>
      </c>
    </row>
    <row r="206" spans="2:9" hidden="1" x14ac:dyDescent="0.25">
      <c r="H206" s="104">
        <f t="shared" si="296"/>
        <v>0</v>
      </c>
      <c r="I206" s="3" t="str">
        <f t="shared" ref="I206" si="314">IF(ISTEXT(B211),CONCATENATE("    // ",B211),"")</f>
        <v/>
      </c>
    </row>
    <row r="207" spans="2:9" hidden="1" x14ac:dyDescent="0.25">
      <c r="B207" s="101">
        <v>30</v>
      </c>
      <c r="C207" s="70" t="s">
        <v>107</v>
      </c>
      <c r="D207" s="71" t="str">
        <f t="shared" ref="D207" si="315">B209</f>
        <v/>
      </c>
      <c r="E207" s="71" t="str">
        <f t="shared" ref="E207" si="316">LOWER(E208)</f>
        <v/>
      </c>
      <c r="F207" s="71"/>
      <c r="G207" s="75" t="s">
        <v>72</v>
      </c>
      <c r="H207" s="104">
        <f t="shared" si="296"/>
        <v>0</v>
      </c>
      <c r="I207" s="3" t="str">
        <f t="shared" ref="I207" si="317">IF(B210,CONCATENATE(C207,D207," ",E207,F207,G207),"")</f>
        <v/>
      </c>
    </row>
    <row r="208" spans="2:9" hidden="1" x14ac:dyDescent="0.25">
      <c r="B208" s="102" t="str">
        <f>LOOKUP(B207,INICIO!A$10:A$109,INICIO!K$10:K$109)</f>
        <v/>
      </c>
      <c r="C208" s="72" t="s">
        <v>108</v>
      </c>
      <c r="D208" s="73" t="str">
        <f t="shared" ref="D208" si="318">B209</f>
        <v/>
      </c>
      <c r="E208" s="73" t="str">
        <f t="shared" ref="E208" si="319">B208</f>
        <v/>
      </c>
      <c r="F208" s="73"/>
      <c r="G208" s="76"/>
      <c r="H208" s="104">
        <f t="shared" si="296"/>
        <v>0</v>
      </c>
      <c r="I208" s="3" t="str">
        <f t="shared" ref="I208" si="320">IF(B210,CONCATENATE(C208,D208," ",E208,F208,G208),"")</f>
        <v/>
      </c>
    </row>
    <row r="209" spans="2:9" hidden="1" x14ac:dyDescent="0.25">
      <c r="B209" s="102" t="str">
        <f>LOOKUP(B207,INICIO!A$10:A$109,INICIO!L$10:L$109)</f>
        <v/>
      </c>
      <c r="C209" s="72" t="s">
        <v>109</v>
      </c>
      <c r="D209" s="73"/>
      <c r="E209" s="73"/>
      <c r="F209" s="73"/>
      <c r="G209" s="76"/>
      <c r="H209" s="104">
        <f t="shared" si="296"/>
        <v>0</v>
      </c>
      <c r="I209" s="3" t="str">
        <f t="shared" ref="I209" si="321">IF(B210,CONCATENATE(C209,D209," ",E209,F209,G209),"")</f>
        <v/>
      </c>
    </row>
    <row r="210" spans="2:9" hidden="1" x14ac:dyDescent="0.25">
      <c r="B210" s="102">
        <f>LOOKUP(B207,INICIO!A$10:A$109,INICIO!J$10:J$109)</f>
        <v>0</v>
      </c>
      <c r="C210" s="72" t="s">
        <v>110</v>
      </c>
      <c r="D210" s="73" t="str">
        <f t="shared" ref="D210" si="322">CONCATENATE(E207,F207)</f>
        <v/>
      </c>
      <c r="E210" s="73" t="s">
        <v>73</v>
      </c>
      <c r="F210" s="73"/>
      <c r="G210" s="76"/>
      <c r="H210" s="104">
        <f t="shared" si="296"/>
        <v>0</v>
      </c>
      <c r="I210" s="3" t="str">
        <f t="shared" ref="I210" si="323">IF(B210,CONCATENATE(C210,D210," ",E210,F210,G210),"")</f>
        <v/>
      </c>
    </row>
    <row r="211" spans="2:9" hidden="1" x14ac:dyDescent="0.25">
      <c r="B211" s="102">
        <f>LOOKUP(B207,INICIO!A$10:A$109,INICIO!E$10:E$109)</f>
        <v>0</v>
      </c>
      <c r="C211" s="72" t="s">
        <v>111</v>
      </c>
      <c r="D211" s="73" t="str">
        <f t="shared" ref="D211" si="324">CONCATENATE(E207,F207)</f>
        <v/>
      </c>
      <c r="E211" s="73" t="s">
        <v>74</v>
      </c>
      <c r="F211" s="73"/>
      <c r="G211" s="76"/>
      <c r="H211" s="104">
        <f t="shared" si="296"/>
        <v>0</v>
      </c>
      <c r="I211" s="3" t="str">
        <f t="shared" ref="I211" si="325">IF(B210,CONCATENATE(C211,D211," ",E211,F211,G211),"")</f>
        <v/>
      </c>
    </row>
    <row r="212" spans="2:9" hidden="1" x14ac:dyDescent="0.25">
      <c r="B212" s="103"/>
      <c r="C212" s="74" t="s">
        <v>112</v>
      </c>
      <c r="D212" s="40"/>
      <c r="E212" s="40"/>
      <c r="F212" s="40"/>
      <c r="G212" s="77"/>
      <c r="H212" s="104">
        <f t="shared" si="296"/>
        <v>0</v>
      </c>
      <c r="I212" s="3" t="str">
        <f t="shared" ref="I212" si="326">IF(B210,CONCATENATE(C212,D212," ",E212,F212,G212),"")</f>
        <v/>
      </c>
    </row>
    <row r="213" spans="2:9" hidden="1" x14ac:dyDescent="0.25">
      <c r="H213" s="104">
        <f t="shared" si="296"/>
        <v>0</v>
      </c>
      <c r="I213" s="3" t="str">
        <f t="shared" ref="I213" si="327">IF(ISTEXT(B218),CONCATENATE("    // ",B218),"")</f>
        <v/>
      </c>
    </row>
    <row r="214" spans="2:9" hidden="1" x14ac:dyDescent="0.25">
      <c r="B214" s="101">
        <v>31</v>
      </c>
      <c r="C214" s="70" t="s">
        <v>107</v>
      </c>
      <c r="D214" s="71" t="str">
        <f t="shared" ref="D214" si="328">B216</f>
        <v/>
      </c>
      <c r="E214" s="71" t="str">
        <f t="shared" ref="E214" si="329">LOWER(E215)</f>
        <v/>
      </c>
      <c r="F214" s="71"/>
      <c r="G214" s="75" t="s">
        <v>72</v>
      </c>
      <c r="H214" s="104">
        <f t="shared" si="296"/>
        <v>0</v>
      </c>
      <c r="I214" s="3" t="str">
        <f t="shared" ref="I214" si="330">IF(B217,CONCATENATE(C214,D214," ",E214,F214,G214),"")</f>
        <v/>
      </c>
    </row>
    <row r="215" spans="2:9" hidden="1" x14ac:dyDescent="0.25">
      <c r="B215" s="102" t="str">
        <f>LOOKUP(B214,INICIO!A$10:A$109,INICIO!K$10:K$109)</f>
        <v/>
      </c>
      <c r="C215" s="72" t="s">
        <v>108</v>
      </c>
      <c r="D215" s="73" t="str">
        <f t="shared" ref="D215" si="331">B216</f>
        <v/>
      </c>
      <c r="E215" s="73" t="str">
        <f t="shared" ref="E215" si="332">B215</f>
        <v/>
      </c>
      <c r="F215" s="73"/>
      <c r="G215" s="76"/>
      <c r="H215" s="104">
        <f t="shared" si="296"/>
        <v>0</v>
      </c>
      <c r="I215" s="3" t="str">
        <f t="shared" ref="I215" si="333">IF(B217,CONCATENATE(C215,D215," ",E215,F215,G215),"")</f>
        <v/>
      </c>
    </row>
    <row r="216" spans="2:9" hidden="1" x14ac:dyDescent="0.25">
      <c r="B216" s="102" t="str">
        <f>LOOKUP(B214,INICIO!A$10:A$109,INICIO!L$10:L$109)</f>
        <v/>
      </c>
      <c r="C216" s="72" t="s">
        <v>109</v>
      </c>
      <c r="D216" s="73"/>
      <c r="E216" s="73"/>
      <c r="F216" s="73"/>
      <c r="G216" s="76"/>
      <c r="H216" s="104">
        <f t="shared" si="296"/>
        <v>0</v>
      </c>
      <c r="I216" s="3" t="str">
        <f t="shared" ref="I216" si="334">IF(B217,CONCATENATE(C216,D216," ",E216,F216,G216),"")</f>
        <v/>
      </c>
    </row>
    <row r="217" spans="2:9" hidden="1" x14ac:dyDescent="0.25">
      <c r="B217" s="102">
        <f>LOOKUP(B214,INICIO!A$10:A$109,INICIO!J$10:J$109)</f>
        <v>0</v>
      </c>
      <c r="C217" s="72" t="s">
        <v>110</v>
      </c>
      <c r="D217" s="73" t="str">
        <f t="shared" ref="D217" si="335">CONCATENATE(E214,F214)</f>
        <v/>
      </c>
      <c r="E217" s="73" t="s">
        <v>73</v>
      </c>
      <c r="F217" s="73"/>
      <c r="G217" s="76"/>
      <c r="H217" s="104">
        <f t="shared" si="296"/>
        <v>0</v>
      </c>
      <c r="I217" s="3" t="str">
        <f t="shared" ref="I217" si="336">IF(B217,CONCATENATE(C217,D217," ",E217,F217,G217),"")</f>
        <v/>
      </c>
    </row>
    <row r="218" spans="2:9" hidden="1" x14ac:dyDescent="0.25">
      <c r="B218" s="102">
        <f>LOOKUP(B214,INICIO!A$10:A$109,INICIO!E$10:E$109)</f>
        <v>0</v>
      </c>
      <c r="C218" s="72" t="s">
        <v>111</v>
      </c>
      <c r="D218" s="73" t="str">
        <f t="shared" ref="D218" si="337">CONCATENATE(E214,F214)</f>
        <v/>
      </c>
      <c r="E218" s="73" t="s">
        <v>74</v>
      </c>
      <c r="F218" s="73"/>
      <c r="G218" s="76"/>
      <c r="H218" s="104">
        <f t="shared" si="296"/>
        <v>0</v>
      </c>
      <c r="I218" s="3" t="str">
        <f t="shared" ref="I218" si="338">IF(B217,CONCATENATE(C218,D218," ",E218,F218,G218),"")</f>
        <v/>
      </c>
    </row>
    <row r="219" spans="2:9" hidden="1" x14ac:dyDescent="0.25">
      <c r="B219" s="103"/>
      <c r="C219" s="74" t="s">
        <v>112</v>
      </c>
      <c r="D219" s="40"/>
      <c r="E219" s="40"/>
      <c r="F219" s="40"/>
      <c r="G219" s="77"/>
      <c r="H219" s="104">
        <f t="shared" si="296"/>
        <v>0</v>
      </c>
      <c r="I219" s="3" t="str">
        <f t="shared" ref="I219" si="339">IF(B217,CONCATENATE(C219,D219," ",E219,F219,G219),"")</f>
        <v/>
      </c>
    </row>
    <row r="220" spans="2:9" hidden="1" x14ac:dyDescent="0.25">
      <c r="H220" s="104">
        <f t="shared" si="296"/>
        <v>0</v>
      </c>
      <c r="I220" s="3" t="str">
        <f t="shared" ref="I220" si="340">IF(ISTEXT(B225),CONCATENATE("    // ",B225),"")</f>
        <v/>
      </c>
    </row>
    <row r="221" spans="2:9" hidden="1" x14ac:dyDescent="0.25">
      <c r="B221" s="101">
        <v>32</v>
      </c>
      <c r="C221" s="70" t="s">
        <v>107</v>
      </c>
      <c r="D221" s="71" t="str">
        <f t="shared" ref="D221" si="341">B223</f>
        <v/>
      </c>
      <c r="E221" s="71" t="str">
        <f t="shared" ref="E221" si="342">LOWER(E222)</f>
        <v/>
      </c>
      <c r="F221" s="71"/>
      <c r="G221" s="75" t="s">
        <v>72</v>
      </c>
      <c r="H221" s="104">
        <f t="shared" si="296"/>
        <v>0</v>
      </c>
      <c r="I221" s="3" t="str">
        <f t="shared" ref="I221" si="343">IF(B224,CONCATENATE(C221,D221," ",E221,F221,G221),"")</f>
        <v/>
      </c>
    </row>
    <row r="222" spans="2:9" hidden="1" x14ac:dyDescent="0.25">
      <c r="B222" s="102" t="str">
        <f>LOOKUP(B221,INICIO!A$10:A$109,INICIO!K$10:K$109)</f>
        <v/>
      </c>
      <c r="C222" s="72" t="s">
        <v>108</v>
      </c>
      <c r="D222" s="73" t="str">
        <f t="shared" ref="D222" si="344">B223</f>
        <v/>
      </c>
      <c r="E222" s="73" t="str">
        <f t="shared" ref="E222" si="345">B222</f>
        <v/>
      </c>
      <c r="F222" s="73"/>
      <c r="G222" s="76"/>
      <c r="H222" s="104">
        <f t="shared" si="296"/>
        <v>0</v>
      </c>
      <c r="I222" s="3" t="str">
        <f t="shared" ref="I222" si="346">IF(B224,CONCATENATE(C222,D222," ",E222,F222,G222),"")</f>
        <v/>
      </c>
    </row>
    <row r="223" spans="2:9" hidden="1" x14ac:dyDescent="0.25">
      <c r="B223" s="102" t="str">
        <f>LOOKUP(B221,INICIO!A$10:A$109,INICIO!L$10:L$109)</f>
        <v/>
      </c>
      <c r="C223" s="72" t="s">
        <v>109</v>
      </c>
      <c r="D223" s="73"/>
      <c r="E223" s="73"/>
      <c r="F223" s="73"/>
      <c r="G223" s="76"/>
      <c r="H223" s="104">
        <f t="shared" si="296"/>
        <v>0</v>
      </c>
      <c r="I223" s="3" t="str">
        <f t="shared" ref="I223" si="347">IF(B224,CONCATENATE(C223,D223," ",E223,F223,G223),"")</f>
        <v/>
      </c>
    </row>
    <row r="224" spans="2:9" hidden="1" x14ac:dyDescent="0.25">
      <c r="B224" s="102">
        <f>LOOKUP(B221,INICIO!A$10:A$109,INICIO!J$10:J$109)</f>
        <v>0</v>
      </c>
      <c r="C224" s="72" t="s">
        <v>110</v>
      </c>
      <c r="D224" s="73" t="str">
        <f t="shared" ref="D224" si="348">CONCATENATE(E221,F221)</f>
        <v/>
      </c>
      <c r="E224" s="73" t="s">
        <v>73</v>
      </c>
      <c r="F224" s="73"/>
      <c r="G224" s="76"/>
      <c r="H224" s="104">
        <f t="shared" si="296"/>
        <v>0</v>
      </c>
      <c r="I224" s="3" t="str">
        <f t="shared" ref="I224" si="349">IF(B224,CONCATENATE(C224,D224," ",E224,F224,G224),"")</f>
        <v/>
      </c>
    </row>
    <row r="225" spans="2:9" hidden="1" x14ac:dyDescent="0.25">
      <c r="B225" s="102">
        <f>LOOKUP(B221,INICIO!A$10:A$109,INICIO!E$10:E$109)</f>
        <v>0</v>
      </c>
      <c r="C225" s="72" t="s">
        <v>111</v>
      </c>
      <c r="D225" s="73" t="str">
        <f t="shared" ref="D225" si="350">CONCATENATE(E221,F221)</f>
        <v/>
      </c>
      <c r="E225" s="73" t="s">
        <v>74</v>
      </c>
      <c r="F225" s="73"/>
      <c r="G225" s="76"/>
      <c r="H225" s="104">
        <f t="shared" si="296"/>
        <v>0</v>
      </c>
      <c r="I225" s="3" t="str">
        <f t="shared" ref="I225" si="351">IF(B224,CONCATENATE(C225,D225," ",E225,F225,G225),"")</f>
        <v/>
      </c>
    </row>
    <row r="226" spans="2:9" hidden="1" x14ac:dyDescent="0.25">
      <c r="B226" s="103"/>
      <c r="C226" s="74" t="s">
        <v>112</v>
      </c>
      <c r="D226" s="40"/>
      <c r="E226" s="40"/>
      <c r="F226" s="40"/>
      <c r="G226" s="77"/>
      <c r="H226" s="104">
        <f t="shared" si="296"/>
        <v>0</v>
      </c>
      <c r="I226" s="3" t="str">
        <f t="shared" ref="I226" si="352">IF(B224,CONCATENATE(C226,D226," ",E226,F226,G226),"")</f>
        <v/>
      </c>
    </row>
    <row r="227" spans="2:9" hidden="1" x14ac:dyDescent="0.25">
      <c r="H227" s="104">
        <f t="shared" si="296"/>
        <v>0</v>
      </c>
      <c r="I227" s="3" t="str">
        <f t="shared" ref="I227" si="353">IF(ISTEXT(B232),CONCATENATE("    // ",B232),"")</f>
        <v/>
      </c>
    </row>
    <row r="228" spans="2:9" hidden="1" x14ac:dyDescent="0.25">
      <c r="B228" s="101">
        <v>33</v>
      </c>
      <c r="C228" s="70" t="s">
        <v>107</v>
      </c>
      <c r="D228" s="71" t="str">
        <f t="shared" ref="D228" si="354">B230</f>
        <v/>
      </c>
      <c r="E228" s="71" t="str">
        <f t="shared" ref="E228" si="355">LOWER(E229)</f>
        <v/>
      </c>
      <c r="F228" s="71"/>
      <c r="G228" s="75" t="s">
        <v>72</v>
      </c>
      <c r="H228" s="104">
        <f t="shared" si="296"/>
        <v>0</v>
      </c>
      <c r="I228" s="3" t="str">
        <f t="shared" ref="I228" si="356">IF(B231,CONCATENATE(C228,D228," ",E228,F228,G228),"")</f>
        <v/>
      </c>
    </row>
    <row r="229" spans="2:9" hidden="1" x14ac:dyDescent="0.25">
      <c r="B229" s="102" t="str">
        <f>LOOKUP(B228,INICIO!A$10:A$109,INICIO!K$10:K$109)</f>
        <v/>
      </c>
      <c r="C229" s="72" t="s">
        <v>108</v>
      </c>
      <c r="D229" s="73" t="str">
        <f t="shared" ref="D229" si="357">B230</f>
        <v/>
      </c>
      <c r="E229" s="73" t="str">
        <f t="shared" ref="E229" si="358">B229</f>
        <v/>
      </c>
      <c r="F229" s="73"/>
      <c r="G229" s="76"/>
      <c r="H229" s="104">
        <f t="shared" si="296"/>
        <v>0</v>
      </c>
      <c r="I229" s="3" t="str">
        <f t="shared" ref="I229" si="359">IF(B231,CONCATENATE(C229,D229," ",E229,F229,G229),"")</f>
        <v/>
      </c>
    </row>
    <row r="230" spans="2:9" hidden="1" x14ac:dyDescent="0.25">
      <c r="B230" s="102" t="str">
        <f>LOOKUP(B228,INICIO!A$10:A$109,INICIO!L$10:L$109)</f>
        <v/>
      </c>
      <c r="C230" s="72" t="s">
        <v>109</v>
      </c>
      <c r="D230" s="73"/>
      <c r="E230" s="73"/>
      <c r="F230" s="73"/>
      <c r="G230" s="76"/>
      <c r="H230" s="104">
        <f t="shared" si="296"/>
        <v>0</v>
      </c>
      <c r="I230" s="3" t="str">
        <f t="shared" ref="I230" si="360">IF(B231,CONCATENATE(C230,D230," ",E230,F230,G230),"")</f>
        <v/>
      </c>
    </row>
    <row r="231" spans="2:9" hidden="1" x14ac:dyDescent="0.25">
      <c r="B231" s="102">
        <f>LOOKUP(B228,INICIO!A$10:A$109,INICIO!J$10:J$109)</f>
        <v>0</v>
      </c>
      <c r="C231" s="72" t="s">
        <v>110</v>
      </c>
      <c r="D231" s="73" t="str">
        <f t="shared" ref="D231" si="361">CONCATENATE(E228,F228)</f>
        <v/>
      </c>
      <c r="E231" s="73" t="s">
        <v>73</v>
      </c>
      <c r="F231" s="73"/>
      <c r="G231" s="76"/>
      <c r="H231" s="104">
        <f t="shared" si="296"/>
        <v>0</v>
      </c>
      <c r="I231" s="3" t="str">
        <f t="shared" ref="I231" si="362">IF(B231,CONCATENATE(C231,D231," ",E231,F231,G231),"")</f>
        <v/>
      </c>
    </row>
    <row r="232" spans="2:9" hidden="1" x14ac:dyDescent="0.25">
      <c r="B232" s="102">
        <f>LOOKUP(B228,INICIO!A$10:A$109,INICIO!E$10:E$109)</f>
        <v>0</v>
      </c>
      <c r="C232" s="72" t="s">
        <v>111</v>
      </c>
      <c r="D232" s="73" t="str">
        <f t="shared" ref="D232" si="363">CONCATENATE(E228,F228)</f>
        <v/>
      </c>
      <c r="E232" s="73" t="s">
        <v>74</v>
      </c>
      <c r="F232" s="73"/>
      <c r="G232" s="76"/>
      <c r="H232" s="104">
        <f t="shared" si="296"/>
        <v>0</v>
      </c>
      <c r="I232" s="3" t="str">
        <f t="shared" ref="I232" si="364">IF(B231,CONCATENATE(C232,D232," ",E232,F232,G232),"")</f>
        <v/>
      </c>
    </row>
    <row r="233" spans="2:9" hidden="1" x14ac:dyDescent="0.25">
      <c r="B233" s="103"/>
      <c r="C233" s="74" t="s">
        <v>112</v>
      </c>
      <c r="D233" s="40"/>
      <c r="E233" s="40"/>
      <c r="F233" s="40"/>
      <c r="G233" s="77"/>
      <c r="H233" s="104">
        <f t="shared" si="296"/>
        <v>0</v>
      </c>
      <c r="I233" s="3" t="str">
        <f t="shared" ref="I233" si="365">IF(B231,CONCATENATE(C233,D233," ",E233,F233,G233),"")</f>
        <v/>
      </c>
    </row>
    <row r="234" spans="2:9" hidden="1" x14ac:dyDescent="0.25">
      <c r="H234" s="104">
        <f t="shared" si="296"/>
        <v>0</v>
      </c>
      <c r="I234" s="3" t="str">
        <f t="shared" ref="I234" si="366">IF(ISTEXT(B239),CONCATENATE("    // ",B239),"")</f>
        <v/>
      </c>
    </row>
    <row r="235" spans="2:9" hidden="1" x14ac:dyDescent="0.25">
      <c r="B235" s="101">
        <v>34</v>
      </c>
      <c r="C235" s="70" t="s">
        <v>107</v>
      </c>
      <c r="D235" s="71" t="str">
        <f t="shared" ref="D235" si="367">B237</f>
        <v/>
      </c>
      <c r="E235" s="71" t="str">
        <f t="shared" ref="E235" si="368">LOWER(E236)</f>
        <v/>
      </c>
      <c r="F235" s="71"/>
      <c r="G235" s="75" t="s">
        <v>72</v>
      </c>
      <c r="H235" s="104">
        <f t="shared" si="296"/>
        <v>0</v>
      </c>
      <c r="I235" s="3" t="str">
        <f t="shared" ref="I235" si="369">IF(B238,CONCATENATE(C235,D235," ",E235,F235,G235),"")</f>
        <v/>
      </c>
    </row>
    <row r="236" spans="2:9" hidden="1" x14ac:dyDescent="0.25">
      <c r="B236" s="102" t="str">
        <f>LOOKUP(B235,INICIO!A$10:A$109,INICIO!K$10:K$109)</f>
        <v/>
      </c>
      <c r="C236" s="72" t="s">
        <v>108</v>
      </c>
      <c r="D236" s="73" t="str">
        <f t="shared" ref="D236" si="370">B237</f>
        <v/>
      </c>
      <c r="E236" s="73" t="str">
        <f t="shared" ref="E236" si="371">B236</f>
        <v/>
      </c>
      <c r="F236" s="73"/>
      <c r="G236" s="76"/>
      <c r="H236" s="104">
        <f t="shared" si="296"/>
        <v>0</v>
      </c>
      <c r="I236" s="3" t="str">
        <f t="shared" ref="I236" si="372">IF(B238,CONCATENATE(C236,D236," ",E236,F236,G236),"")</f>
        <v/>
      </c>
    </row>
    <row r="237" spans="2:9" hidden="1" x14ac:dyDescent="0.25">
      <c r="B237" s="102" t="str">
        <f>LOOKUP(B235,INICIO!A$10:A$109,INICIO!L$10:L$109)</f>
        <v/>
      </c>
      <c r="C237" s="72" t="s">
        <v>109</v>
      </c>
      <c r="D237" s="73"/>
      <c r="E237" s="73"/>
      <c r="F237" s="73"/>
      <c r="G237" s="76"/>
      <c r="H237" s="104">
        <f t="shared" si="296"/>
        <v>0</v>
      </c>
      <c r="I237" s="3" t="str">
        <f t="shared" ref="I237" si="373">IF(B238,CONCATENATE(C237,D237," ",E237,F237,G237),"")</f>
        <v/>
      </c>
    </row>
    <row r="238" spans="2:9" hidden="1" x14ac:dyDescent="0.25">
      <c r="B238" s="102">
        <f>LOOKUP(B235,INICIO!A$10:A$109,INICIO!J$10:J$109)</f>
        <v>0</v>
      </c>
      <c r="C238" s="72" t="s">
        <v>110</v>
      </c>
      <c r="D238" s="73" t="str">
        <f t="shared" ref="D238" si="374">CONCATENATE(E235,F235)</f>
        <v/>
      </c>
      <c r="E238" s="73" t="s">
        <v>73</v>
      </c>
      <c r="F238" s="73"/>
      <c r="G238" s="76"/>
      <c r="H238" s="104">
        <f t="shared" si="296"/>
        <v>0</v>
      </c>
      <c r="I238" s="3" t="str">
        <f t="shared" ref="I238" si="375">IF(B238,CONCATENATE(C238,D238," ",E238,F238,G238),"")</f>
        <v/>
      </c>
    </row>
    <row r="239" spans="2:9" hidden="1" x14ac:dyDescent="0.25">
      <c r="B239" s="102">
        <f>LOOKUP(B235,INICIO!A$10:A$109,INICIO!E$10:E$109)</f>
        <v>0</v>
      </c>
      <c r="C239" s="72" t="s">
        <v>111</v>
      </c>
      <c r="D239" s="73" t="str">
        <f t="shared" ref="D239" si="376">CONCATENATE(E235,F235)</f>
        <v/>
      </c>
      <c r="E239" s="73" t="s">
        <v>74</v>
      </c>
      <c r="F239" s="73"/>
      <c r="G239" s="76"/>
      <c r="H239" s="104">
        <f t="shared" si="296"/>
        <v>0</v>
      </c>
      <c r="I239" s="3" t="str">
        <f t="shared" ref="I239" si="377">IF(B238,CONCATENATE(C239,D239," ",E239,F239,G239),"")</f>
        <v/>
      </c>
    </row>
    <row r="240" spans="2:9" hidden="1" x14ac:dyDescent="0.25">
      <c r="B240" s="103"/>
      <c r="C240" s="74" t="s">
        <v>112</v>
      </c>
      <c r="D240" s="40"/>
      <c r="E240" s="40"/>
      <c r="F240" s="40"/>
      <c r="G240" s="77"/>
      <c r="H240" s="104">
        <f t="shared" si="296"/>
        <v>0</v>
      </c>
      <c r="I240" s="3" t="str">
        <f t="shared" ref="I240" si="378">IF(B238,CONCATENATE(C240,D240," ",E240,F240,G240),"")</f>
        <v/>
      </c>
    </row>
    <row r="241" spans="2:9" hidden="1" x14ac:dyDescent="0.25">
      <c r="H241" s="104">
        <f t="shared" si="296"/>
        <v>0</v>
      </c>
      <c r="I241" s="3" t="str">
        <f t="shared" ref="I241" si="379">IF(ISTEXT(B246),CONCATENATE("    // ",B246),"")</f>
        <v/>
      </c>
    </row>
    <row r="242" spans="2:9" hidden="1" x14ac:dyDescent="0.25">
      <c r="B242" s="101">
        <v>35</v>
      </c>
      <c r="C242" s="70" t="s">
        <v>107</v>
      </c>
      <c r="D242" s="71" t="str">
        <f t="shared" ref="D242" si="380">B244</f>
        <v/>
      </c>
      <c r="E242" s="71" t="str">
        <f t="shared" ref="E242" si="381">LOWER(E243)</f>
        <v/>
      </c>
      <c r="F242" s="71"/>
      <c r="G242" s="75" t="s">
        <v>72</v>
      </c>
      <c r="H242" s="104">
        <f t="shared" si="296"/>
        <v>0</v>
      </c>
      <c r="I242" s="3" t="str">
        <f t="shared" ref="I242" si="382">IF(B245,CONCATENATE(C242,D242," ",E242,F242,G242),"")</f>
        <v/>
      </c>
    </row>
    <row r="243" spans="2:9" hidden="1" x14ac:dyDescent="0.25">
      <c r="B243" s="102" t="str">
        <f>LOOKUP(B242,INICIO!A$10:A$109,INICIO!K$10:K$109)</f>
        <v/>
      </c>
      <c r="C243" s="72" t="s">
        <v>108</v>
      </c>
      <c r="D243" s="73" t="str">
        <f t="shared" ref="D243" si="383">B244</f>
        <v/>
      </c>
      <c r="E243" s="73" t="str">
        <f t="shared" ref="E243" si="384">B243</f>
        <v/>
      </c>
      <c r="F243" s="73"/>
      <c r="G243" s="76"/>
      <c r="H243" s="104">
        <f t="shared" si="296"/>
        <v>0</v>
      </c>
      <c r="I243" s="3" t="str">
        <f t="shared" ref="I243" si="385">IF(B245,CONCATENATE(C243,D243," ",E243,F243,G243),"")</f>
        <v/>
      </c>
    </row>
    <row r="244" spans="2:9" hidden="1" x14ac:dyDescent="0.25">
      <c r="B244" s="102" t="str">
        <f>LOOKUP(B242,INICIO!A$10:A$109,INICIO!L$10:L$109)</f>
        <v/>
      </c>
      <c r="C244" s="72" t="s">
        <v>109</v>
      </c>
      <c r="D244" s="73"/>
      <c r="E244" s="73"/>
      <c r="F244" s="73"/>
      <c r="G244" s="76"/>
      <c r="H244" s="104">
        <f t="shared" si="296"/>
        <v>0</v>
      </c>
      <c r="I244" s="3" t="str">
        <f t="shared" ref="I244" si="386">IF(B245,CONCATENATE(C244,D244," ",E244,F244,G244),"")</f>
        <v/>
      </c>
    </row>
    <row r="245" spans="2:9" hidden="1" x14ac:dyDescent="0.25">
      <c r="B245" s="102">
        <f>LOOKUP(B242,INICIO!A$10:A$109,INICIO!J$10:J$109)</f>
        <v>0</v>
      </c>
      <c r="C245" s="72" t="s">
        <v>110</v>
      </c>
      <c r="D245" s="73" t="str">
        <f t="shared" ref="D245" si="387">CONCATENATE(E242,F242)</f>
        <v/>
      </c>
      <c r="E245" s="73" t="s">
        <v>73</v>
      </c>
      <c r="F245" s="73"/>
      <c r="G245" s="76"/>
      <c r="H245" s="104">
        <f t="shared" si="296"/>
        <v>0</v>
      </c>
      <c r="I245" s="3" t="str">
        <f t="shared" ref="I245" si="388">IF(B245,CONCATENATE(C245,D245," ",E245,F245,G245),"")</f>
        <v/>
      </c>
    </row>
    <row r="246" spans="2:9" hidden="1" x14ac:dyDescent="0.25">
      <c r="B246" s="102">
        <f>LOOKUP(B242,INICIO!A$10:A$109,INICIO!E$10:E$109)</f>
        <v>0</v>
      </c>
      <c r="C246" s="72" t="s">
        <v>111</v>
      </c>
      <c r="D246" s="73" t="str">
        <f t="shared" ref="D246" si="389">CONCATENATE(E242,F242)</f>
        <v/>
      </c>
      <c r="E246" s="73" t="s">
        <v>74</v>
      </c>
      <c r="F246" s="73"/>
      <c r="G246" s="76"/>
      <c r="H246" s="104">
        <f t="shared" si="296"/>
        <v>0</v>
      </c>
      <c r="I246" s="3" t="str">
        <f t="shared" ref="I246" si="390">IF(B245,CONCATENATE(C246,D246," ",E246,F246,G246),"")</f>
        <v/>
      </c>
    </row>
    <row r="247" spans="2:9" hidden="1" x14ac:dyDescent="0.25">
      <c r="B247" s="103"/>
      <c r="C247" s="74" t="s">
        <v>112</v>
      </c>
      <c r="D247" s="40"/>
      <c r="E247" s="40"/>
      <c r="F247" s="40"/>
      <c r="G247" s="77"/>
      <c r="H247" s="104">
        <f t="shared" si="296"/>
        <v>0</v>
      </c>
      <c r="I247" s="3" t="str">
        <f t="shared" ref="I247" si="391">IF(B245,CONCATENATE(C247,D247," ",E247,F247,G247),"")</f>
        <v/>
      </c>
    </row>
    <row r="248" spans="2:9" hidden="1" x14ac:dyDescent="0.25">
      <c r="H248" s="104">
        <f t="shared" si="296"/>
        <v>0</v>
      </c>
      <c r="I248" s="3" t="str">
        <f t="shared" ref="I248" si="392">IF(ISTEXT(B253),CONCATENATE("    // ",B253),"")</f>
        <v/>
      </c>
    </row>
    <row r="249" spans="2:9" hidden="1" x14ac:dyDescent="0.25">
      <c r="B249" s="101">
        <v>36</v>
      </c>
      <c r="C249" s="70" t="s">
        <v>107</v>
      </c>
      <c r="D249" s="71" t="str">
        <f t="shared" ref="D249" si="393">B251</f>
        <v/>
      </c>
      <c r="E249" s="71" t="str">
        <f t="shared" ref="E249" si="394">LOWER(E250)</f>
        <v/>
      </c>
      <c r="F249" s="71"/>
      <c r="G249" s="75" t="s">
        <v>72</v>
      </c>
      <c r="H249" s="104">
        <f t="shared" si="296"/>
        <v>0</v>
      </c>
      <c r="I249" s="3" t="str">
        <f t="shared" ref="I249" si="395">IF(B252,CONCATENATE(C249,D249," ",E249,F249,G249),"")</f>
        <v/>
      </c>
    </row>
    <row r="250" spans="2:9" hidden="1" x14ac:dyDescent="0.25">
      <c r="B250" s="102" t="str">
        <f>LOOKUP(B249,INICIO!A$10:A$109,INICIO!K$10:K$109)</f>
        <v/>
      </c>
      <c r="C250" s="72" t="s">
        <v>108</v>
      </c>
      <c r="D250" s="73" t="str">
        <f t="shared" ref="D250" si="396">B251</f>
        <v/>
      </c>
      <c r="E250" s="73" t="str">
        <f t="shared" ref="E250" si="397">B250</f>
        <v/>
      </c>
      <c r="F250" s="73"/>
      <c r="G250" s="76"/>
      <c r="H250" s="104">
        <f t="shared" si="296"/>
        <v>0</v>
      </c>
      <c r="I250" s="3" t="str">
        <f t="shared" ref="I250" si="398">IF(B252,CONCATENATE(C250,D250," ",E250,F250,G250),"")</f>
        <v/>
      </c>
    </row>
    <row r="251" spans="2:9" hidden="1" x14ac:dyDescent="0.25">
      <c r="B251" s="102" t="str">
        <f>LOOKUP(B249,INICIO!A$10:A$109,INICIO!L$10:L$109)</f>
        <v/>
      </c>
      <c r="C251" s="72" t="s">
        <v>109</v>
      </c>
      <c r="D251" s="73"/>
      <c r="E251" s="73"/>
      <c r="F251" s="73"/>
      <c r="G251" s="76"/>
      <c r="H251" s="104">
        <f t="shared" si="296"/>
        <v>0</v>
      </c>
      <c r="I251" s="3" t="str">
        <f t="shared" ref="I251" si="399">IF(B252,CONCATENATE(C251,D251," ",E251,F251,G251),"")</f>
        <v/>
      </c>
    </row>
    <row r="252" spans="2:9" hidden="1" x14ac:dyDescent="0.25">
      <c r="B252" s="102">
        <f>LOOKUP(B249,INICIO!A$10:A$109,INICIO!J$10:J$109)</f>
        <v>0</v>
      </c>
      <c r="C252" s="72" t="s">
        <v>110</v>
      </c>
      <c r="D252" s="73" t="str">
        <f t="shared" ref="D252" si="400">CONCATENATE(E249,F249)</f>
        <v/>
      </c>
      <c r="E252" s="73" t="s">
        <v>73</v>
      </c>
      <c r="F252" s="73"/>
      <c r="G252" s="76"/>
      <c r="H252" s="104">
        <f t="shared" si="296"/>
        <v>0</v>
      </c>
      <c r="I252" s="3" t="str">
        <f t="shared" ref="I252" si="401">IF(B252,CONCATENATE(C252,D252," ",E252,F252,G252),"")</f>
        <v/>
      </c>
    </row>
    <row r="253" spans="2:9" hidden="1" x14ac:dyDescent="0.25">
      <c r="B253" s="102">
        <f>LOOKUP(B249,INICIO!A$10:A$109,INICIO!E$10:E$109)</f>
        <v>0</v>
      </c>
      <c r="C253" s="72" t="s">
        <v>111</v>
      </c>
      <c r="D253" s="73" t="str">
        <f t="shared" ref="D253" si="402">CONCATENATE(E249,F249)</f>
        <v/>
      </c>
      <c r="E253" s="73" t="s">
        <v>74</v>
      </c>
      <c r="F253" s="73"/>
      <c r="G253" s="76"/>
      <c r="H253" s="104">
        <f t="shared" si="296"/>
        <v>0</v>
      </c>
      <c r="I253" s="3" t="str">
        <f t="shared" ref="I253" si="403">IF(B252,CONCATENATE(C253,D253," ",E253,F253,G253),"")</f>
        <v/>
      </c>
    </row>
    <row r="254" spans="2:9" hidden="1" x14ac:dyDescent="0.25">
      <c r="B254" s="103"/>
      <c r="C254" s="74" t="s">
        <v>112</v>
      </c>
      <c r="D254" s="40"/>
      <c r="E254" s="40"/>
      <c r="F254" s="40"/>
      <c r="G254" s="77"/>
      <c r="H254" s="104">
        <f t="shared" si="296"/>
        <v>0</v>
      </c>
      <c r="I254" s="3" t="str">
        <f t="shared" ref="I254" si="404">IF(B252,CONCATENATE(C254,D254," ",E254,F254,G254),"")</f>
        <v/>
      </c>
    </row>
    <row r="255" spans="2:9" hidden="1" x14ac:dyDescent="0.25">
      <c r="H255" s="104">
        <f t="shared" si="296"/>
        <v>0</v>
      </c>
      <c r="I255" s="3" t="str">
        <f t="shared" ref="I255" si="405">IF(ISTEXT(B260),CONCATENATE("    // ",B260),"")</f>
        <v/>
      </c>
    </row>
    <row r="256" spans="2:9" hidden="1" x14ac:dyDescent="0.25">
      <c r="B256" s="101">
        <v>37</v>
      </c>
      <c r="C256" s="70" t="s">
        <v>107</v>
      </c>
      <c r="D256" s="71" t="str">
        <f t="shared" ref="D256" si="406">B258</f>
        <v/>
      </c>
      <c r="E256" s="71" t="str">
        <f t="shared" ref="E256" si="407">LOWER(E257)</f>
        <v/>
      </c>
      <c r="F256" s="71"/>
      <c r="G256" s="75" t="s">
        <v>72</v>
      </c>
      <c r="H256" s="104">
        <f t="shared" si="296"/>
        <v>0</v>
      </c>
      <c r="I256" s="3" t="str">
        <f t="shared" ref="I256" si="408">IF(B259,CONCATENATE(C256,D256," ",E256,F256,G256),"")</f>
        <v/>
      </c>
    </row>
    <row r="257" spans="2:9" hidden="1" x14ac:dyDescent="0.25">
      <c r="B257" s="102" t="str">
        <f>LOOKUP(B256,INICIO!A$10:A$109,INICIO!K$10:K$109)</f>
        <v/>
      </c>
      <c r="C257" s="72" t="s">
        <v>108</v>
      </c>
      <c r="D257" s="73" t="str">
        <f t="shared" ref="D257" si="409">B258</f>
        <v/>
      </c>
      <c r="E257" s="73" t="str">
        <f t="shared" ref="E257" si="410">B257</f>
        <v/>
      </c>
      <c r="F257" s="73"/>
      <c r="G257" s="76"/>
      <c r="H257" s="104">
        <f t="shared" si="296"/>
        <v>0</v>
      </c>
      <c r="I257" s="3" t="str">
        <f t="shared" ref="I257" si="411">IF(B259,CONCATENATE(C257,D257," ",E257,F257,G257),"")</f>
        <v/>
      </c>
    </row>
    <row r="258" spans="2:9" hidden="1" x14ac:dyDescent="0.25">
      <c r="B258" s="102" t="str">
        <f>LOOKUP(B256,INICIO!A$10:A$109,INICIO!L$10:L$109)</f>
        <v/>
      </c>
      <c r="C258" s="72" t="s">
        <v>109</v>
      </c>
      <c r="D258" s="73"/>
      <c r="E258" s="73"/>
      <c r="F258" s="73"/>
      <c r="G258" s="76"/>
      <c r="H258" s="104">
        <f t="shared" si="296"/>
        <v>0</v>
      </c>
      <c r="I258" s="3" t="str">
        <f t="shared" ref="I258" si="412">IF(B259,CONCATENATE(C258,D258," ",E258,F258,G258),"")</f>
        <v/>
      </c>
    </row>
    <row r="259" spans="2:9" hidden="1" x14ac:dyDescent="0.25">
      <c r="B259" s="102">
        <f>LOOKUP(B256,INICIO!A$10:A$109,INICIO!J$10:J$109)</f>
        <v>0</v>
      </c>
      <c r="C259" s="72" t="s">
        <v>110</v>
      </c>
      <c r="D259" s="73" t="str">
        <f t="shared" ref="D259" si="413">CONCATENATE(E256,F256)</f>
        <v/>
      </c>
      <c r="E259" s="73" t="s">
        <v>73</v>
      </c>
      <c r="F259" s="73"/>
      <c r="G259" s="76"/>
      <c r="H259" s="104">
        <f t="shared" si="296"/>
        <v>0</v>
      </c>
      <c r="I259" s="3" t="str">
        <f t="shared" ref="I259" si="414">IF(B259,CONCATENATE(C259,D259," ",E259,F259,G259),"")</f>
        <v/>
      </c>
    </row>
    <row r="260" spans="2:9" hidden="1" x14ac:dyDescent="0.25">
      <c r="B260" s="102">
        <f>LOOKUP(B256,INICIO!A$10:A$109,INICIO!E$10:E$109)</f>
        <v>0</v>
      </c>
      <c r="C260" s="72" t="s">
        <v>111</v>
      </c>
      <c r="D260" s="73" t="str">
        <f t="shared" ref="D260" si="415">CONCATENATE(E256,F256)</f>
        <v/>
      </c>
      <c r="E260" s="73" t="s">
        <v>74</v>
      </c>
      <c r="F260" s="73"/>
      <c r="G260" s="76"/>
      <c r="H260" s="104">
        <f t="shared" ref="H260:H323" si="416">IF(I260&lt;&gt;"",1,0)</f>
        <v>0</v>
      </c>
      <c r="I260" s="3" t="str">
        <f t="shared" ref="I260" si="417">IF(B259,CONCATENATE(C260,D260," ",E260,F260,G260),"")</f>
        <v/>
      </c>
    </row>
    <row r="261" spans="2:9" hidden="1" x14ac:dyDescent="0.25">
      <c r="B261" s="103"/>
      <c r="C261" s="74" t="s">
        <v>112</v>
      </c>
      <c r="D261" s="40"/>
      <c r="E261" s="40"/>
      <c r="F261" s="40"/>
      <c r="G261" s="77"/>
      <c r="H261" s="104">
        <f t="shared" si="416"/>
        <v>0</v>
      </c>
      <c r="I261" s="3" t="str">
        <f t="shared" ref="I261" si="418">IF(B259,CONCATENATE(C261,D261," ",E261,F261,G261),"")</f>
        <v/>
      </c>
    </row>
    <row r="262" spans="2:9" hidden="1" x14ac:dyDescent="0.25">
      <c r="H262" s="104">
        <f t="shared" si="416"/>
        <v>0</v>
      </c>
      <c r="I262" s="3" t="str">
        <f t="shared" ref="I262" si="419">IF(ISTEXT(B267),CONCATENATE("    // ",B267),"")</f>
        <v/>
      </c>
    </row>
    <row r="263" spans="2:9" hidden="1" x14ac:dyDescent="0.25">
      <c r="B263" s="101">
        <v>38</v>
      </c>
      <c r="C263" s="70" t="s">
        <v>107</v>
      </c>
      <c r="D263" s="71" t="str">
        <f t="shared" ref="D263" si="420">B265</f>
        <v/>
      </c>
      <c r="E263" s="71" t="str">
        <f t="shared" ref="E263" si="421">LOWER(E264)</f>
        <v/>
      </c>
      <c r="F263" s="71"/>
      <c r="G263" s="75" t="s">
        <v>72</v>
      </c>
      <c r="H263" s="104">
        <f t="shared" si="416"/>
        <v>0</v>
      </c>
      <c r="I263" s="3" t="str">
        <f t="shared" ref="I263" si="422">IF(B266,CONCATENATE(C263,D263," ",E263,F263,G263),"")</f>
        <v/>
      </c>
    </row>
    <row r="264" spans="2:9" hidden="1" x14ac:dyDescent="0.25">
      <c r="B264" s="102" t="str">
        <f>LOOKUP(B263,INICIO!A$10:A$109,INICIO!K$10:K$109)</f>
        <v/>
      </c>
      <c r="C264" s="72" t="s">
        <v>108</v>
      </c>
      <c r="D264" s="73" t="str">
        <f t="shared" ref="D264" si="423">B265</f>
        <v/>
      </c>
      <c r="E264" s="73" t="str">
        <f t="shared" ref="E264" si="424">B264</f>
        <v/>
      </c>
      <c r="F264" s="73"/>
      <c r="G264" s="76"/>
      <c r="H264" s="104">
        <f t="shared" si="416"/>
        <v>0</v>
      </c>
      <c r="I264" s="3" t="str">
        <f t="shared" ref="I264" si="425">IF(B266,CONCATENATE(C264,D264," ",E264,F264,G264),"")</f>
        <v/>
      </c>
    </row>
    <row r="265" spans="2:9" hidden="1" x14ac:dyDescent="0.25">
      <c r="B265" s="102" t="str">
        <f>LOOKUP(B263,INICIO!A$10:A$109,INICIO!L$10:L$109)</f>
        <v/>
      </c>
      <c r="C265" s="72" t="s">
        <v>109</v>
      </c>
      <c r="D265" s="73"/>
      <c r="E265" s="73"/>
      <c r="F265" s="73"/>
      <c r="G265" s="76"/>
      <c r="H265" s="104">
        <f t="shared" si="416"/>
        <v>0</v>
      </c>
      <c r="I265" s="3" t="str">
        <f t="shared" ref="I265" si="426">IF(B266,CONCATENATE(C265,D265," ",E265,F265,G265),"")</f>
        <v/>
      </c>
    </row>
    <row r="266" spans="2:9" hidden="1" x14ac:dyDescent="0.25">
      <c r="B266" s="102">
        <f>LOOKUP(B263,INICIO!A$10:A$109,INICIO!J$10:J$109)</f>
        <v>0</v>
      </c>
      <c r="C266" s="72" t="s">
        <v>110</v>
      </c>
      <c r="D266" s="73" t="str">
        <f t="shared" ref="D266" si="427">CONCATENATE(E263,F263)</f>
        <v/>
      </c>
      <c r="E266" s="73" t="s">
        <v>73</v>
      </c>
      <c r="F266" s="73"/>
      <c r="G266" s="76"/>
      <c r="H266" s="104">
        <f t="shared" si="416"/>
        <v>0</v>
      </c>
      <c r="I266" s="3" t="str">
        <f t="shared" ref="I266" si="428">IF(B266,CONCATENATE(C266,D266," ",E266,F266,G266),"")</f>
        <v/>
      </c>
    </row>
    <row r="267" spans="2:9" hidden="1" x14ac:dyDescent="0.25">
      <c r="B267" s="102">
        <f>LOOKUP(B263,INICIO!A$10:A$109,INICIO!E$10:E$109)</f>
        <v>0</v>
      </c>
      <c r="C267" s="72" t="s">
        <v>111</v>
      </c>
      <c r="D267" s="73" t="str">
        <f t="shared" ref="D267" si="429">CONCATENATE(E263,F263)</f>
        <v/>
      </c>
      <c r="E267" s="73" t="s">
        <v>74</v>
      </c>
      <c r="F267" s="73"/>
      <c r="G267" s="76"/>
      <c r="H267" s="104">
        <f t="shared" si="416"/>
        <v>0</v>
      </c>
      <c r="I267" s="3" t="str">
        <f t="shared" ref="I267" si="430">IF(B266,CONCATENATE(C267,D267," ",E267,F267,G267),"")</f>
        <v/>
      </c>
    </row>
    <row r="268" spans="2:9" hidden="1" x14ac:dyDescent="0.25">
      <c r="B268" s="103"/>
      <c r="C268" s="74" t="s">
        <v>112</v>
      </c>
      <c r="D268" s="40"/>
      <c r="E268" s="40"/>
      <c r="F268" s="40"/>
      <c r="G268" s="77"/>
      <c r="H268" s="104">
        <f t="shared" si="416"/>
        <v>0</v>
      </c>
      <c r="I268" s="3" t="str">
        <f t="shared" ref="I268" si="431">IF(B266,CONCATENATE(C268,D268," ",E268,F268,G268),"")</f>
        <v/>
      </c>
    </row>
    <row r="269" spans="2:9" hidden="1" x14ac:dyDescent="0.25">
      <c r="H269" s="104">
        <f t="shared" si="416"/>
        <v>0</v>
      </c>
      <c r="I269" s="3" t="str">
        <f t="shared" ref="I269" si="432">IF(ISTEXT(B274),CONCATENATE("    // ",B274),"")</f>
        <v/>
      </c>
    </row>
    <row r="270" spans="2:9" hidden="1" x14ac:dyDescent="0.25">
      <c r="B270" s="101">
        <v>39</v>
      </c>
      <c r="C270" s="70" t="s">
        <v>107</v>
      </c>
      <c r="D270" s="71" t="str">
        <f t="shared" ref="D270" si="433">B272</f>
        <v/>
      </c>
      <c r="E270" s="71" t="str">
        <f t="shared" ref="E270" si="434">LOWER(E271)</f>
        <v/>
      </c>
      <c r="F270" s="71"/>
      <c r="G270" s="75" t="s">
        <v>72</v>
      </c>
      <c r="H270" s="104">
        <f t="shared" si="416"/>
        <v>0</v>
      </c>
      <c r="I270" s="3" t="str">
        <f t="shared" ref="I270" si="435">IF(B273,CONCATENATE(C270,D270," ",E270,F270,G270),"")</f>
        <v/>
      </c>
    </row>
    <row r="271" spans="2:9" hidden="1" x14ac:dyDescent="0.25">
      <c r="B271" s="102" t="str">
        <f>LOOKUP(B270,INICIO!A$10:A$109,INICIO!K$10:K$109)</f>
        <v/>
      </c>
      <c r="C271" s="72" t="s">
        <v>108</v>
      </c>
      <c r="D271" s="73" t="str">
        <f t="shared" ref="D271" si="436">B272</f>
        <v/>
      </c>
      <c r="E271" s="73" t="str">
        <f t="shared" ref="E271" si="437">B271</f>
        <v/>
      </c>
      <c r="F271" s="73"/>
      <c r="G271" s="76"/>
      <c r="H271" s="104">
        <f t="shared" si="416"/>
        <v>0</v>
      </c>
      <c r="I271" s="3" t="str">
        <f t="shared" ref="I271" si="438">IF(B273,CONCATENATE(C271,D271," ",E271,F271,G271),"")</f>
        <v/>
      </c>
    </row>
    <row r="272" spans="2:9" hidden="1" x14ac:dyDescent="0.25">
      <c r="B272" s="102" t="str">
        <f>LOOKUP(B270,INICIO!A$10:A$109,INICIO!L$10:L$109)</f>
        <v/>
      </c>
      <c r="C272" s="72" t="s">
        <v>109</v>
      </c>
      <c r="D272" s="73"/>
      <c r="E272" s="73"/>
      <c r="F272" s="73"/>
      <c r="G272" s="76"/>
      <c r="H272" s="104">
        <f t="shared" si="416"/>
        <v>0</v>
      </c>
      <c r="I272" s="3" t="str">
        <f t="shared" ref="I272" si="439">IF(B273,CONCATENATE(C272,D272," ",E272,F272,G272),"")</f>
        <v/>
      </c>
    </row>
    <row r="273" spans="2:9" hidden="1" x14ac:dyDescent="0.25">
      <c r="B273" s="102">
        <f>LOOKUP(B270,INICIO!A$10:A$109,INICIO!J$10:J$109)</f>
        <v>0</v>
      </c>
      <c r="C273" s="72" t="s">
        <v>110</v>
      </c>
      <c r="D273" s="73" t="str">
        <f t="shared" ref="D273" si="440">CONCATENATE(E270,F270)</f>
        <v/>
      </c>
      <c r="E273" s="73" t="s">
        <v>73</v>
      </c>
      <c r="F273" s="73"/>
      <c r="G273" s="76"/>
      <c r="H273" s="104">
        <f t="shared" si="416"/>
        <v>0</v>
      </c>
      <c r="I273" s="3" t="str">
        <f t="shared" ref="I273" si="441">IF(B273,CONCATENATE(C273,D273," ",E273,F273,G273),"")</f>
        <v/>
      </c>
    </row>
    <row r="274" spans="2:9" hidden="1" x14ac:dyDescent="0.25">
      <c r="B274" s="102">
        <f>LOOKUP(B270,INICIO!A$10:A$109,INICIO!E$10:E$109)</f>
        <v>0</v>
      </c>
      <c r="C274" s="72" t="s">
        <v>111</v>
      </c>
      <c r="D274" s="73" t="str">
        <f t="shared" ref="D274" si="442">CONCATENATE(E270,F270)</f>
        <v/>
      </c>
      <c r="E274" s="73" t="s">
        <v>74</v>
      </c>
      <c r="F274" s="73"/>
      <c r="G274" s="76"/>
      <c r="H274" s="104">
        <f t="shared" si="416"/>
        <v>0</v>
      </c>
      <c r="I274" s="3" t="str">
        <f t="shared" ref="I274" si="443">IF(B273,CONCATENATE(C274,D274," ",E274,F274,G274),"")</f>
        <v/>
      </c>
    </row>
    <row r="275" spans="2:9" hidden="1" x14ac:dyDescent="0.25">
      <c r="B275" s="103"/>
      <c r="C275" s="74" t="s">
        <v>112</v>
      </c>
      <c r="D275" s="40"/>
      <c r="E275" s="40"/>
      <c r="F275" s="40"/>
      <c r="G275" s="77"/>
      <c r="H275" s="104">
        <f t="shared" si="416"/>
        <v>0</v>
      </c>
      <c r="I275" s="3" t="str">
        <f t="shared" ref="I275" si="444">IF(B273,CONCATENATE(C275,D275," ",E275,F275,G275),"")</f>
        <v/>
      </c>
    </row>
    <row r="276" spans="2:9" hidden="1" x14ac:dyDescent="0.25">
      <c r="H276" s="104">
        <f t="shared" si="416"/>
        <v>0</v>
      </c>
      <c r="I276" s="3" t="str">
        <f t="shared" ref="I276" si="445">IF(ISTEXT(B281),CONCATENATE("    // ",B281),"")</f>
        <v/>
      </c>
    </row>
    <row r="277" spans="2:9" hidden="1" x14ac:dyDescent="0.25">
      <c r="B277" s="101">
        <v>40</v>
      </c>
      <c r="C277" s="70" t="s">
        <v>107</v>
      </c>
      <c r="D277" s="71" t="str">
        <f t="shared" ref="D277" si="446">B279</f>
        <v/>
      </c>
      <c r="E277" s="71" t="str">
        <f t="shared" ref="E277" si="447">LOWER(E278)</f>
        <v/>
      </c>
      <c r="F277" s="71"/>
      <c r="G277" s="75" t="s">
        <v>72</v>
      </c>
      <c r="H277" s="104">
        <f t="shared" si="416"/>
        <v>0</v>
      </c>
      <c r="I277" s="3" t="str">
        <f t="shared" ref="I277" si="448">IF(B280,CONCATENATE(C277,D277," ",E277,F277,G277),"")</f>
        <v/>
      </c>
    </row>
    <row r="278" spans="2:9" hidden="1" x14ac:dyDescent="0.25">
      <c r="B278" s="102" t="str">
        <f>LOOKUP(B277,INICIO!A$10:A$109,INICIO!K$10:K$109)</f>
        <v/>
      </c>
      <c r="C278" s="72" t="s">
        <v>108</v>
      </c>
      <c r="D278" s="73" t="str">
        <f t="shared" ref="D278" si="449">B279</f>
        <v/>
      </c>
      <c r="E278" s="73" t="str">
        <f t="shared" ref="E278" si="450">B278</f>
        <v/>
      </c>
      <c r="F278" s="73"/>
      <c r="G278" s="76"/>
      <c r="H278" s="104">
        <f t="shared" si="416"/>
        <v>0</v>
      </c>
      <c r="I278" s="3" t="str">
        <f t="shared" ref="I278" si="451">IF(B280,CONCATENATE(C278,D278," ",E278,F278,G278),"")</f>
        <v/>
      </c>
    </row>
    <row r="279" spans="2:9" hidden="1" x14ac:dyDescent="0.25">
      <c r="B279" s="102" t="str">
        <f>LOOKUP(B277,INICIO!A$10:A$109,INICIO!L$10:L$109)</f>
        <v/>
      </c>
      <c r="C279" s="72" t="s">
        <v>109</v>
      </c>
      <c r="D279" s="73"/>
      <c r="E279" s="73"/>
      <c r="F279" s="73"/>
      <c r="G279" s="76"/>
      <c r="H279" s="104">
        <f t="shared" si="416"/>
        <v>0</v>
      </c>
      <c r="I279" s="3" t="str">
        <f t="shared" ref="I279" si="452">IF(B280,CONCATENATE(C279,D279," ",E279,F279,G279),"")</f>
        <v/>
      </c>
    </row>
    <row r="280" spans="2:9" hidden="1" x14ac:dyDescent="0.25">
      <c r="B280" s="102">
        <f>LOOKUP(B277,INICIO!A$10:A$109,INICIO!J$10:J$109)</f>
        <v>0</v>
      </c>
      <c r="C280" s="72" t="s">
        <v>110</v>
      </c>
      <c r="D280" s="73" t="str">
        <f t="shared" ref="D280" si="453">CONCATENATE(E277,F277)</f>
        <v/>
      </c>
      <c r="E280" s="73" t="s">
        <v>73</v>
      </c>
      <c r="F280" s="73"/>
      <c r="G280" s="76"/>
      <c r="H280" s="104">
        <f t="shared" si="416"/>
        <v>0</v>
      </c>
      <c r="I280" s="3" t="str">
        <f t="shared" ref="I280" si="454">IF(B280,CONCATENATE(C280,D280," ",E280,F280,G280),"")</f>
        <v/>
      </c>
    </row>
    <row r="281" spans="2:9" hidden="1" x14ac:dyDescent="0.25">
      <c r="B281" s="102">
        <f>LOOKUP(B277,INICIO!A$10:A$109,INICIO!E$10:E$109)</f>
        <v>0</v>
      </c>
      <c r="C281" s="72" t="s">
        <v>111</v>
      </c>
      <c r="D281" s="73" t="str">
        <f t="shared" ref="D281" si="455">CONCATENATE(E277,F277)</f>
        <v/>
      </c>
      <c r="E281" s="73" t="s">
        <v>74</v>
      </c>
      <c r="F281" s="73"/>
      <c r="G281" s="76"/>
      <c r="H281" s="104">
        <f t="shared" si="416"/>
        <v>0</v>
      </c>
      <c r="I281" s="3" t="str">
        <f t="shared" ref="I281" si="456">IF(B280,CONCATENATE(C281,D281," ",E281,F281,G281),"")</f>
        <v/>
      </c>
    </row>
    <row r="282" spans="2:9" hidden="1" x14ac:dyDescent="0.25">
      <c r="B282" s="103"/>
      <c r="C282" s="74" t="s">
        <v>112</v>
      </c>
      <c r="D282" s="40"/>
      <c r="E282" s="40"/>
      <c r="F282" s="40"/>
      <c r="G282" s="77"/>
      <c r="H282" s="104">
        <f t="shared" si="416"/>
        <v>0</v>
      </c>
      <c r="I282" s="3" t="str">
        <f t="shared" ref="I282" si="457">IF(B280,CONCATENATE(C282,D282," ",E282,F282,G282),"")</f>
        <v/>
      </c>
    </row>
    <row r="283" spans="2:9" hidden="1" x14ac:dyDescent="0.25">
      <c r="H283" s="104">
        <f t="shared" si="416"/>
        <v>0</v>
      </c>
      <c r="I283" s="3" t="str">
        <f t="shared" ref="I283" si="458">IF(ISTEXT(B288),CONCATENATE("    // ",B288),"")</f>
        <v/>
      </c>
    </row>
    <row r="284" spans="2:9" hidden="1" x14ac:dyDescent="0.25">
      <c r="B284" s="101">
        <v>41</v>
      </c>
      <c r="C284" s="70" t="s">
        <v>107</v>
      </c>
      <c r="D284" s="71" t="str">
        <f t="shared" ref="D284" si="459">B286</f>
        <v/>
      </c>
      <c r="E284" s="71" t="str">
        <f t="shared" ref="E284" si="460">LOWER(E285)</f>
        <v/>
      </c>
      <c r="F284" s="71"/>
      <c r="G284" s="75" t="s">
        <v>72</v>
      </c>
      <c r="H284" s="104">
        <f t="shared" si="416"/>
        <v>0</v>
      </c>
      <c r="I284" s="3" t="str">
        <f t="shared" ref="I284" si="461">IF(B287,CONCATENATE(C284,D284," ",E284,F284,G284),"")</f>
        <v/>
      </c>
    </row>
    <row r="285" spans="2:9" hidden="1" x14ac:dyDescent="0.25">
      <c r="B285" s="102" t="str">
        <f>LOOKUP(B284,INICIO!A$10:A$109,INICIO!K$10:K$109)</f>
        <v/>
      </c>
      <c r="C285" s="72" t="s">
        <v>108</v>
      </c>
      <c r="D285" s="73" t="str">
        <f t="shared" ref="D285" si="462">B286</f>
        <v/>
      </c>
      <c r="E285" s="73" t="str">
        <f t="shared" ref="E285" si="463">B285</f>
        <v/>
      </c>
      <c r="F285" s="73"/>
      <c r="G285" s="76"/>
      <c r="H285" s="104">
        <f t="shared" si="416"/>
        <v>0</v>
      </c>
      <c r="I285" s="3" t="str">
        <f t="shared" ref="I285" si="464">IF(B287,CONCATENATE(C285,D285," ",E285,F285,G285),"")</f>
        <v/>
      </c>
    </row>
    <row r="286" spans="2:9" hidden="1" x14ac:dyDescent="0.25">
      <c r="B286" s="102" t="str">
        <f>LOOKUP(B284,INICIO!A$10:A$109,INICIO!L$10:L$109)</f>
        <v/>
      </c>
      <c r="C286" s="72" t="s">
        <v>109</v>
      </c>
      <c r="D286" s="73"/>
      <c r="E286" s="73"/>
      <c r="F286" s="73"/>
      <c r="G286" s="76"/>
      <c r="H286" s="104">
        <f t="shared" si="416"/>
        <v>0</v>
      </c>
      <c r="I286" s="3" t="str">
        <f t="shared" ref="I286" si="465">IF(B287,CONCATENATE(C286,D286," ",E286,F286,G286),"")</f>
        <v/>
      </c>
    </row>
    <row r="287" spans="2:9" hidden="1" x14ac:dyDescent="0.25">
      <c r="B287" s="102">
        <f>LOOKUP(B284,INICIO!A$10:A$109,INICIO!J$10:J$109)</f>
        <v>0</v>
      </c>
      <c r="C287" s="72" t="s">
        <v>110</v>
      </c>
      <c r="D287" s="73" t="str">
        <f t="shared" ref="D287" si="466">CONCATENATE(E284,F284)</f>
        <v/>
      </c>
      <c r="E287" s="73" t="s">
        <v>73</v>
      </c>
      <c r="F287" s="73"/>
      <c r="G287" s="76"/>
      <c r="H287" s="104">
        <f t="shared" si="416"/>
        <v>0</v>
      </c>
      <c r="I287" s="3" t="str">
        <f t="shared" ref="I287" si="467">IF(B287,CONCATENATE(C287,D287," ",E287,F287,G287),"")</f>
        <v/>
      </c>
    </row>
    <row r="288" spans="2:9" hidden="1" x14ac:dyDescent="0.25">
      <c r="B288" s="102">
        <f>LOOKUP(B284,INICIO!A$10:A$109,INICIO!E$10:E$109)</f>
        <v>0</v>
      </c>
      <c r="C288" s="72" t="s">
        <v>111</v>
      </c>
      <c r="D288" s="73" t="str">
        <f t="shared" ref="D288" si="468">CONCATENATE(E284,F284)</f>
        <v/>
      </c>
      <c r="E288" s="73" t="s">
        <v>74</v>
      </c>
      <c r="F288" s="73"/>
      <c r="G288" s="76"/>
      <c r="H288" s="104">
        <f t="shared" si="416"/>
        <v>0</v>
      </c>
      <c r="I288" s="3" t="str">
        <f t="shared" ref="I288" si="469">IF(B287,CONCATENATE(C288,D288," ",E288,F288,G288),"")</f>
        <v/>
      </c>
    </row>
    <row r="289" spans="2:9" hidden="1" x14ac:dyDescent="0.25">
      <c r="B289" s="103"/>
      <c r="C289" s="74" t="s">
        <v>112</v>
      </c>
      <c r="D289" s="40"/>
      <c r="E289" s="40"/>
      <c r="F289" s="40"/>
      <c r="G289" s="77"/>
      <c r="H289" s="104">
        <f t="shared" si="416"/>
        <v>0</v>
      </c>
      <c r="I289" s="3" t="str">
        <f t="shared" ref="I289" si="470">IF(B287,CONCATENATE(C289,D289," ",E289,F289,G289),"")</f>
        <v/>
      </c>
    </row>
    <row r="290" spans="2:9" hidden="1" x14ac:dyDescent="0.25">
      <c r="H290" s="104">
        <f t="shared" si="416"/>
        <v>0</v>
      </c>
      <c r="I290" s="3" t="str">
        <f t="shared" ref="I290" si="471">IF(ISTEXT(B295),CONCATENATE("    // ",B295),"")</f>
        <v/>
      </c>
    </row>
    <row r="291" spans="2:9" hidden="1" x14ac:dyDescent="0.25">
      <c r="B291" s="101">
        <v>42</v>
      </c>
      <c r="C291" s="70" t="s">
        <v>107</v>
      </c>
      <c r="D291" s="71" t="str">
        <f t="shared" ref="D291" si="472">B293</f>
        <v/>
      </c>
      <c r="E291" s="71" t="str">
        <f t="shared" ref="E291" si="473">LOWER(E292)</f>
        <v/>
      </c>
      <c r="F291" s="71"/>
      <c r="G291" s="75" t="s">
        <v>72</v>
      </c>
      <c r="H291" s="104">
        <f t="shared" si="416"/>
        <v>0</v>
      </c>
      <c r="I291" s="3" t="str">
        <f t="shared" ref="I291" si="474">IF(B294,CONCATENATE(C291,D291," ",E291,F291,G291),"")</f>
        <v/>
      </c>
    </row>
    <row r="292" spans="2:9" hidden="1" x14ac:dyDescent="0.25">
      <c r="B292" s="102" t="str">
        <f>LOOKUP(B291,INICIO!A$10:A$109,INICIO!K$10:K$109)</f>
        <v/>
      </c>
      <c r="C292" s="72" t="s">
        <v>108</v>
      </c>
      <c r="D292" s="73" t="str">
        <f t="shared" ref="D292" si="475">B293</f>
        <v/>
      </c>
      <c r="E292" s="73" t="str">
        <f t="shared" ref="E292" si="476">B292</f>
        <v/>
      </c>
      <c r="F292" s="73"/>
      <c r="G292" s="76"/>
      <c r="H292" s="104">
        <f t="shared" si="416"/>
        <v>0</v>
      </c>
      <c r="I292" s="3" t="str">
        <f t="shared" ref="I292" si="477">IF(B294,CONCATENATE(C292,D292," ",E292,F292,G292),"")</f>
        <v/>
      </c>
    </row>
    <row r="293" spans="2:9" hidden="1" x14ac:dyDescent="0.25">
      <c r="B293" s="102" t="str">
        <f>LOOKUP(B291,INICIO!A$10:A$109,INICIO!L$10:L$109)</f>
        <v/>
      </c>
      <c r="C293" s="72" t="s">
        <v>109</v>
      </c>
      <c r="D293" s="73"/>
      <c r="E293" s="73"/>
      <c r="F293" s="73"/>
      <c r="G293" s="76"/>
      <c r="H293" s="104">
        <f t="shared" si="416"/>
        <v>0</v>
      </c>
      <c r="I293" s="3" t="str">
        <f t="shared" ref="I293" si="478">IF(B294,CONCATENATE(C293,D293," ",E293,F293,G293),"")</f>
        <v/>
      </c>
    </row>
    <row r="294" spans="2:9" hidden="1" x14ac:dyDescent="0.25">
      <c r="B294" s="102">
        <f>LOOKUP(B291,INICIO!A$10:A$109,INICIO!J$10:J$109)</f>
        <v>0</v>
      </c>
      <c r="C294" s="72" t="s">
        <v>110</v>
      </c>
      <c r="D294" s="73" t="str">
        <f t="shared" ref="D294" si="479">CONCATENATE(E291,F291)</f>
        <v/>
      </c>
      <c r="E294" s="73" t="s">
        <v>73</v>
      </c>
      <c r="F294" s="73"/>
      <c r="G294" s="76"/>
      <c r="H294" s="104">
        <f t="shared" si="416"/>
        <v>0</v>
      </c>
      <c r="I294" s="3" t="str">
        <f t="shared" ref="I294" si="480">IF(B294,CONCATENATE(C294,D294," ",E294,F294,G294),"")</f>
        <v/>
      </c>
    </row>
    <row r="295" spans="2:9" hidden="1" x14ac:dyDescent="0.25">
      <c r="B295" s="102">
        <f>LOOKUP(B291,INICIO!A$10:A$109,INICIO!E$10:E$109)</f>
        <v>0</v>
      </c>
      <c r="C295" s="72" t="s">
        <v>111</v>
      </c>
      <c r="D295" s="73" t="str">
        <f t="shared" ref="D295" si="481">CONCATENATE(E291,F291)</f>
        <v/>
      </c>
      <c r="E295" s="73" t="s">
        <v>74</v>
      </c>
      <c r="F295" s="73"/>
      <c r="G295" s="76"/>
      <c r="H295" s="104">
        <f t="shared" si="416"/>
        <v>0</v>
      </c>
      <c r="I295" s="3" t="str">
        <f t="shared" ref="I295" si="482">IF(B294,CONCATENATE(C295,D295," ",E295,F295,G295),"")</f>
        <v/>
      </c>
    </row>
    <row r="296" spans="2:9" hidden="1" x14ac:dyDescent="0.25">
      <c r="B296" s="103"/>
      <c r="C296" s="74" t="s">
        <v>112</v>
      </c>
      <c r="D296" s="40"/>
      <c r="E296" s="40"/>
      <c r="F296" s="40"/>
      <c r="G296" s="77"/>
      <c r="H296" s="104">
        <f t="shared" si="416"/>
        <v>0</v>
      </c>
      <c r="I296" s="3" t="str">
        <f t="shared" ref="I296" si="483">IF(B294,CONCATENATE(C296,D296," ",E296,F296,G296),"")</f>
        <v/>
      </c>
    </row>
    <row r="297" spans="2:9" hidden="1" x14ac:dyDescent="0.25">
      <c r="H297" s="104">
        <f t="shared" si="416"/>
        <v>0</v>
      </c>
      <c r="I297" s="3" t="str">
        <f t="shared" ref="I297" si="484">IF(ISTEXT(B302),CONCATENATE("    // ",B302),"")</f>
        <v/>
      </c>
    </row>
    <row r="298" spans="2:9" hidden="1" x14ac:dyDescent="0.25">
      <c r="B298" s="101">
        <v>43</v>
      </c>
      <c r="C298" s="70" t="s">
        <v>107</v>
      </c>
      <c r="D298" s="71" t="str">
        <f t="shared" ref="D298" si="485">B300</f>
        <v/>
      </c>
      <c r="E298" s="71" t="str">
        <f t="shared" ref="E298" si="486">LOWER(E299)</f>
        <v/>
      </c>
      <c r="F298" s="71"/>
      <c r="G298" s="75" t="s">
        <v>72</v>
      </c>
      <c r="H298" s="104">
        <f t="shared" si="416"/>
        <v>0</v>
      </c>
      <c r="I298" s="3" t="str">
        <f t="shared" ref="I298" si="487">IF(B301,CONCATENATE(C298,D298," ",E298,F298,G298),"")</f>
        <v/>
      </c>
    </row>
    <row r="299" spans="2:9" hidden="1" x14ac:dyDescent="0.25">
      <c r="B299" s="102" t="str">
        <f>LOOKUP(B298,INICIO!A$10:A$109,INICIO!K$10:K$109)</f>
        <v/>
      </c>
      <c r="C299" s="72" t="s">
        <v>108</v>
      </c>
      <c r="D299" s="73" t="str">
        <f t="shared" ref="D299" si="488">B300</f>
        <v/>
      </c>
      <c r="E299" s="73" t="str">
        <f t="shared" ref="E299" si="489">B299</f>
        <v/>
      </c>
      <c r="F299" s="73"/>
      <c r="G299" s="76"/>
      <c r="H299" s="104">
        <f t="shared" si="416"/>
        <v>0</v>
      </c>
      <c r="I299" s="3" t="str">
        <f t="shared" ref="I299" si="490">IF(B301,CONCATENATE(C299,D299," ",E299,F299,G299),"")</f>
        <v/>
      </c>
    </row>
    <row r="300" spans="2:9" hidden="1" x14ac:dyDescent="0.25">
      <c r="B300" s="102" t="str">
        <f>LOOKUP(B298,INICIO!A$10:A$109,INICIO!L$10:L$109)</f>
        <v/>
      </c>
      <c r="C300" s="72" t="s">
        <v>109</v>
      </c>
      <c r="D300" s="73"/>
      <c r="E300" s="73"/>
      <c r="F300" s="73"/>
      <c r="G300" s="76"/>
      <c r="H300" s="104">
        <f t="shared" si="416"/>
        <v>0</v>
      </c>
      <c r="I300" s="3" t="str">
        <f t="shared" ref="I300" si="491">IF(B301,CONCATENATE(C300,D300," ",E300,F300,G300),"")</f>
        <v/>
      </c>
    </row>
    <row r="301" spans="2:9" hidden="1" x14ac:dyDescent="0.25">
      <c r="B301" s="102">
        <f>LOOKUP(B298,INICIO!A$10:A$109,INICIO!J$10:J$109)</f>
        <v>0</v>
      </c>
      <c r="C301" s="72" t="s">
        <v>110</v>
      </c>
      <c r="D301" s="73" t="str">
        <f t="shared" ref="D301" si="492">CONCATENATE(E298,F298)</f>
        <v/>
      </c>
      <c r="E301" s="73" t="s">
        <v>73</v>
      </c>
      <c r="F301" s="73"/>
      <c r="G301" s="76"/>
      <c r="H301" s="104">
        <f t="shared" si="416"/>
        <v>0</v>
      </c>
      <c r="I301" s="3" t="str">
        <f t="shared" ref="I301" si="493">IF(B301,CONCATENATE(C301,D301," ",E301,F301,G301),"")</f>
        <v/>
      </c>
    </row>
    <row r="302" spans="2:9" hidden="1" x14ac:dyDescent="0.25">
      <c r="B302" s="102">
        <f>LOOKUP(B298,INICIO!A$10:A$109,INICIO!E$10:E$109)</f>
        <v>0</v>
      </c>
      <c r="C302" s="72" t="s">
        <v>111</v>
      </c>
      <c r="D302" s="73" t="str">
        <f t="shared" ref="D302" si="494">CONCATENATE(E298,F298)</f>
        <v/>
      </c>
      <c r="E302" s="73" t="s">
        <v>74</v>
      </c>
      <c r="F302" s="73"/>
      <c r="G302" s="76"/>
      <c r="H302" s="104">
        <f t="shared" si="416"/>
        <v>0</v>
      </c>
      <c r="I302" s="3" t="str">
        <f t="shared" ref="I302" si="495">IF(B301,CONCATENATE(C302,D302," ",E302,F302,G302),"")</f>
        <v/>
      </c>
    </row>
    <row r="303" spans="2:9" hidden="1" x14ac:dyDescent="0.25">
      <c r="B303" s="103"/>
      <c r="C303" s="74" t="s">
        <v>112</v>
      </c>
      <c r="D303" s="40"/>
      <c r="E303" s="40"/>
      <c r="F303" s="40"/>
      <c r="G303" s="77"/>
      <c r="H303" s="104">
        <f t="shared" si="416"/>
        <v>0</v>
      </c>
      <c r="I303" s="3" t="str">
        <f t="shared" ref="I303" si="496">IF(B301,CONCATENATE(C303,D303," ",E303,F303,G303),"")</f>
        <v/>
      </c>
    </row>
    <row r="304" spans="2:9" hidden="1" x14ac:dyDescent="0.25">
      <c r="H304" s="104">
        <f t="shared" si="416"/>
        <v>0</v>
      </c>
      <c r="I304" s="3" t="str">
        <f t="shared" ref="I304" si="497">IF(ISTEXT(B309),CONCATENATE("    // ",B309),"")</f>
        <v/>
      </c>
    </row>
    <row r="305" spans="2:9" hidden="1" x14ac:dyDescent="0.25">
      <c r="B305" s="101">
        <v>44</v>
      </c>
      <c r="C305" s="70" t="s">
        <v>107</v>
      </c>
      <c r="D305" s="71" t="str">
        <f t="shared" ref="D305" si="498">B307</f>
        <v/>
      </c>
      <c r="E305" s="71" t="str">
        <f t="shared" ref="E305" si="499">LOWER(E306)</f>
        <v/>
      </c>
      <c r="F305" s="71"/>
      <c r="G305" s="75" t="s">
        <v>72</v>
      </c>
      <c r="H305" s="104">
        <f t="shared" si="416"/>
        <v>0</v>
      </c>
      <c r="I305" s="3" t="str">
        <f t="shared" ref="I305" si="500">IF(B308,CONCATENATE(C305,D305," ",E305,F305,G305),"")</f>
        <v/>
      </c>
    </row>
    <row r="306" spans="2:9" hidden="1" x14ac:dyDescent="0.25">
      <c r="B306" s="102" t="str">
        <f>LOOKUP(B305,INICIO!A$10:A$109,INICIO!K$10:K$109)</f>
        <v/>
      </c>
      <c r="C306" s="72" t="s">
        <v>108</v>
      </c>
      <c r="D306" s="73" t="str">
        <f t="shared" ref="D306" si="501">B307</f>
        <v/>
      </c>
      <c r="E306" s="73" t="str">
        <f t="shared" ref="E306" si="502">B306</f>
        <v/>
      </c>
      <c r="F306" s="73"/>
      <c r="G306" s="76"/>
      <c r="H306" s="104">
        <f t="shared" si="416"/>
        <v>0</v>
      </c>
      <c r="I306" s="3" t="str">
        <f t="shared" ref="I306" si="503">IF(B308,CONCATENATE(C306,D306," ",E306,F306,G306),"")</f>
        <v/>
      </c>
    </row>
    <row r="307" spans="2:9" hidden="1" x14ac:dyDescent="0.25">
      <c r="B307" s="102" t="str">
        <f>LOOKUP(B305,INICIO!A$10:A$109,INICIO!L$10:L$109)</f>
        <v/>
      </c>
      <c r="C307" s="72" t="s">
        <v>109</v>
      </c>
      <c r="D307" s="73"/>
      <c r="E307" s="73"/>
      <c r="F307" s="73"/>
      <c r="G307" s="76"/>
      <c r="H307" s="104">
        <f t="shared" si="416"/>
        <v>0</v>
      </c>
      <c r="I307" s="3" t="str">
        <f t="shared" ref="I307" si="504">IF(B308,CONCATENATE(C307,D307," ",E307,F307,G307),"")</f>
        <v/>
      </c>
    </row>
    <row r="308" spans="2:9" hidden="1" x14ac:dyDescent="0.25">
      <c r="B308" s="102">
        <f>LOOKUP(B305,INICIO!A$10:A$109,INICIO!J$10:J$109)</f>
        <v>0</v>
      </c>
      <c r="C308" s="72" t="s">
        <v>110</v>
      </c>
      <c r="D308" s="73" t="str">
        <f t="shared" ref="D308" si="505">CONCATENATE(E305,F305)</f>
        <v/>
      </c>
      <c r="E308" s="73" t="s">
        <v>73</v>
      </c>
      <c r="F308" s="73"/>
      <c r="G308" s="76"/>
      <c r="H308" s="104">
        <f t="shared" si="416"/>
        <v>0</v>
      </c>
      <c r="I308" s="3" t="str">
        <f t="shared" ref="I308" si="506">IF(B308,CONCATENATE(C308,D308," ",E308,F308,G308),"")</f>
        <v/>
      </c>
    </row>
    <row r="309" spans="2:9" hidden="1" x14ac:dyDescent="0.25">
      <c r="B309" s="102">
        <f>LOOKUP(B305,INICIO!A$10:A$109,INICIO!E$10:E$109)</f>
        <v>0</v>
      </c>
      <c r="C309" s="72" t="s">
        <v>111</v>
      </c>
      <c r="D309" s="73" t="str">
        <f t="shared" ref="D309" si="507">CONCATENATE(E305,F305)</f>
        <v/>
      </c>
      <c r="E309" s="73" t="s">
        <v>74</v>
      </c>
      <c r="F309" s="73"/>
      <c r="G309" s="76"/>
      <c r="H309" s="104">
        <f t="shared" si="416"/>
        <v>0</v>
      </c>
      <c r="I309" s="3" t="str">
        <f t="shared" ref="I309" si="508">IF(B308,CONCATENATE(C309,D309," ",E309,F309,G309),"")</f>
        <v/>
      </c>
    </row>
    <row r="310" spans="2:9" hidden="1" x14ac:dyDescent="0.25">
      <c r="B310" s="103"/>
      <c r="C310" s="74" t="s">
        <v>112</v>
      </c>
      <c r="D310" s="40"/>
      <c r="E310" s="40"/>
      <c r="F310" s="40"/>
      <c r="G310" s="77"/>
      <c r="H310" s="104">
        <f t="shared" si="416"/>
        <v>0</v>
      </c>
      <c r="I310" s="3" t="str">
        <f t="shared" ref="I310" si="509">IF(B308,CONCATENATE(C310,D310," ",E310,F310,G310),"")</f>
        <v/>
      </c>
    </row>
    <row r="311" spans="2:9" hidden="1" x14ac:dyDescent="0.25">
      <c r="H311" s="104">
        <f t="shared" si="416"/>
        <v>0</v>
      </c>
      <c r="I311" s="3" t="str">
        <f t="shared" ref="I311" si="510">IF(ISTEXT(B316),CONCATENATE("    // ",B316),"")</f>
        <v/>
      </c>
    </row>
    <row r="312" spans="2:9" hidden="1" x14ac:dyDescent="0.25">
      <c r="B312" s="101">
        <v>45</v>
      </c>
      <c r="C312" s="70" t="s">
        <v>107</v>
      </c>
      <c r="D312" s="71" t="str">
        <f t="shared" ref="D312" si="511">B314</f>
        <v/>
      </c>
      <c r="E312" s="71" t="str">
        <f t="shared" ref="E312" si="512">LOWER(E313)</f>
        <v/>
      </c>
      <c r="F312" s="71"/>
      <c r="G312" s="75" t="s">
        <v>72</v>
      </c>
      <c r="H312" s="104">
        <f t="shared" si="416"/>
        <v>0</v>
      </c>
      <c r="I312" s="3" t="str">
        <f t="shared" ref="I312" si="513">IF(B315,CONCATENATE(C312,D312," ",E312,F312,G312),"")</f>
        <v/>
      </c>
    </row>
    <row r="313" spans="2:9" hidden="1" x14ac:dyDescent="0.25">
      <c r="B313" s="102" t="str">
        <f>LOOKUP(B312,INICIO!A$10:A$109,INICIO!K$10:K$109)</f>
        <v/>
      </c>
      <c r="C313" s="72" t="s">
        <v>108</v>
      </c>
      <c r="D313" s="73" t="str">
        <f t="shared" ref="D313" si="514">B314</f>
        <v/>
      </c>
      <c r="E313" s="73" t="str">
        <f t="shared" ref="E313" si="515">B313</f>
        <v/>
      </c>
      <c r="F313" s="73"/>
      <c r="G313" s="76"/>
      <c r="H313" s="104">
        <f t="shared" si="416"/>
        <v>0</v>
      </c>
      <c r="I313" s="3" t="str">
        <f t="shared" ref="I313" si="516">IF(B315,CONCATENATE(C313,D313," ",E313,F313,G313),"")</f>
        <v/>
      </c>
    </row>
    <row r="314" spans="2:9" hidden="1" x14ac:dyDescent="0.25">
      <c r="B314" s="102" t="str">
        <f>LOOKUP(B312,INICIO!A$10:A$109,INICIO!L$10:L$109)</f>
        <v/>
      </c>
      <c r="C314" s="72" t="s">
        <v>109</v>
      </c>
      <c r="D314" s="73"/>
      <c r="E314" s="73"/>
      <c r="F314" s="73"/>
      <c r="G314" s="76"/>
      <c r="H314" s="104">
        <f t="shared" si="416"/>
        <v>0</v>
      </c>
      <c r="I314" s="3" t="str">
        <f t="shared" ref="I314" si="517">IF(B315,CONCATENATE(C314,D314," ",E314,F314,G314),"")</f>
        <v/>
      </c>
    </row>
    <row r="315" spans="2:9" hidden="1" x14ac:dyDescent="0.25">
      <c r="B315" s="102">
        <f>LOOKUP(B312,INICIO!A$10:A$109,INICIO!J$10:J$109)</f>
        <v>0</v>
      </c>
      <c r="C315" s="72" t="s">
        <v>110</v>
      </c>
      <c r="D315" s="73" t="str">
        <f t="shared" ref="D315" si="518">CONCATENATE(E312,F312)</f>
        <v/>
      </c>
      <c r="E315" s="73" t="s">
        <v>73</v>
      </c>
      <c r="F315" s="73"/>
      <c r="G315" s="76"/>
      <c r="H315" s="104">
        <f t="shared" si="416"/>
        <v>0</v>
      </c>
      <c r="I315" s="3" t="str">
        <f t="shared" ref="I315" si="519">IF(B315,CONCATENATE(C315,D315," ",E315,F315,G315),"")</f>
        <v/>
      </c>
    </row>
    <row r="316" spans="2:9" hidden="1" x14ac:dyDescent="0.25">
      <c r="B316" s="102">
        <f>LOOKUP(B312,INICIO!A$10:A$109,INICIO!E$10:E$109)</f>
        <v>0</v>
      </c>
      <c r="C316" s="72" t="s">
        <v>111</v>
      </c>
      <c r="D316" s="73" t="str">
        <f t="shared" ref="D316" si="520">CONCATENATE(E312,F312)</f>
        <v/>
      </c>
      <c r="E316" s="73" t="s">
        <v>74</v>
      </c>
      <c r="F316" s="73"/>
      <c r="G316" s="76"/>
      <c r="H316" s="104">
        <f t="shared" si="416"/>
        <v>0</v>
      </c>
      <c r="I316" s="3" t="str">
        <f t="shared" ref="I316" si="521">IF(B315,CONCATENATE(C316,D316," ",E316,F316,G316),"")</f>
        <v/>
      </c>
    </row>
    <row r="317" spans="2:9" hidden="1" x14ac:dyDescent="0.25">
      <c r="B317" s="103"/>
      <c r="C317" s="74" t="s">
        <v>112</v>
      </c>
      <c r="D317" s="40"/>
      <c r="E317" s="40"/>
      <c r="F317" s="40"/>
      <c r="G317" s="77"/>
      <c r="H317" s="104">
        <f t="shared" si="416"/>
        <v>0</v>
      </c>
      <c r="I317" s="3" t="str">
        <f t="shared" ref="I317" si="522">IF(B315,CONCATENATE(C317,D317," ",E317,F317,G317),"")</f>
        <v/>
      </c>
    </row>
    <row r="318" spans="2:9" hidden="1" x14ac:dyDescent="0.25">
      <c r="H318" s="104">
        <f t="shared" si="416"/>
        <v>0</v>
      </c>
      <c r="I318" s="3" t="str">
        <f t="shared" ref="I318" si="523">IF(ISTEXT(B323),CONCATENATE("    // ",B323),"")</f>
        <v/>
      </c>
    </row>
    <row r="319" spans="2:9" hidden="1" x14ac:dyDescent="0.25">
      <c r="B319" s="101">
        <v>46</v>
      </c>
      <c r="C319" s="70" t="s">
        <v>107</v>
      </c>
      <c r="D319" s="71" t="str">
        <f t="shared" ref="D319" si="524">B321</f>
        <v/>
      </c>
      <c r="E319" s="71" t="str">
        <f t="shared" ref="E319" si="525">LOWER(E320)</f>
        <v/>
      </c>
      <c r="F319" s="71"/>
      <c r="G319" s="75" t="s">
        <v>72</v>
      </c>
      <c r="H319" s="104">
        <f t="shared" si="416"/>
        <v>0</v>
      </c>
      <c r="I319" s="3" t="str">
        <f t="shared" ref="I319" si="526">IF(B322,CONCATENATE(C319,D319," ",E319,F319,G319),"")</f>
        <v/>
      </c>
    </row>
    <row r="320" spans="2:9" hidden="1" x14ac:dyDescent="0.25">
      <c r="B320" s="102" t="str">
        <f>LOOKUP(B319,INICIO!A$10:A$109,INICIO!K$10:K$109)</f>
        <v/>
      </c>
      <c r="C320" s="72" t="s">
        <v>108</v>
      </c>
      <c r="D320" s="73" t="str">
        <f t="shared" ref="D320" si="527">B321</f>
        <v/>
      </c>
      <c r="E320" s="73" t="str">
        <f t="shared" ref="E320" si="528">B320</f>
        <v/>
      </c>
      <c r="F320" s="73"/>
      <c r="G320" s="76"/>
      <c r="H320" s="104">
        <f t="shared" si="416"/>
        <v>0</v>
      </c>
      <c r="I320" s="3" t="str">
        <f t="shared" ref="I320" si="529">IF(B322,CONCATENATE(C320,D320," ",E320,F320,G320),"")</f>
        <v/>
      </c>
    </row>
    <row r="321" spans="2:9" hidden="1" x14ac:dyDescent="0.25">
      <c r="B321" s="102" t="str">
        <f>LOOKUP(B319,INICIO!A$10:A$109,INICIO!L$10:L$109)</f>
        <v/>
      </c>
      <c r="C321" s="72" t="s">
        <v>109</v>
      </c>
      <c r="D321" s="73"/>
      <c r="E321" s="73"/>
      <c r="F321" s="73"/>
      <c r="G321" s="76"/>
      <c r="H321" s="104">
        <f t="shared" si="416"/>
        <v>0</v>
      </c>
      <c r="I321" s="3" t="str">
        <f t="shared" ref="I321" si="530">IF(B322,CONCATENATE(C321,D321," ",E321,F321,G321),"")</f>
        <v/>
      </c>
    </row>
    <row r="322" spans="2:9" hidden="1" x14ac:dyDescent="0.25">
      <c r="B322" s="102">
        <f>LOOKUP(B319,INICIO!A$10:A$109,INICIO!J$10:J$109)</f>
        <v>0</v>
      </c>
      <c r="C322" s="72" t="s">
        <v>110</v>
      </c>
      <c r="D322" s="73" t="str">
        <f t="shared" ref="D322" si="531">CONCATENATE(E319,F319)</f>
        <v/>
      </c>
      <c r="E322" s="73" t="s">
        <v>73</v>
      </c>
      <c r="F322" s="73"/>
      <c r="G322" s="76"/>
      <c r="H322" s="104">
        <f t="shared" si="416"/>
        <v>0</v>
      </c>
      <c r="I322" s="3" t="str">
        <f t="shared" ref="I322" si="532">IF(B322,CONCATENATE(C322,D322," ",E322,F322,G322),"")</f>
        <v/>
      </c>
    </row>
    <row r="323" spans="2:9" hidden="1" x14ac:dyDescent="0.25">
      <c r="B323" s="102">
        <f>LOOKUP(B319,INICIO!A$10:A$109,INICIO!E$10:E$109)</f>
        <v>0</v>
      </c>
      <c r="C323" s="72" t="s">
        <v>111</v>
      </c>
      <c r="D323" s="73" t="str">
        <f t="shared" ref="D323" si="533">CONCATENATE(E319,F319)</f>
        <v/>
      </c>
      <c r="E323" s="73" t="s">
        <v>74</v>
      </c>
      <c r="F323" s="73"/>
      <c r="G323" s="76"/>
      <c r="H323" s="104">
        <f t="shared" si="416"/>
        <v>0</v>
      </c>
      <c r="I323" s="3" t="str">
        <f t="shared" ref="I323" si="534">IF(B322,CONCATENATE(C323,D323," ",E323,F323,G323),"")</f>
        <v/>
      </c>
    </row>
    <row r="324" spans="2:9" hidden="1" x14ac:dyDescent="0.25">
      <c r="B324" s="103"/>
      <c r="C324" s="74" t="s">
        <v>112</v>
      </c>
      <c r="D324" s="40"/>
      <c r="E324" s="40"/>
      <c r="F324" s="40"/>
      <c r="G324" s="77"/>
      <c r="H324" s="104">
        <f t="shared" ref="H324:H387" si="535">IF(I324&lt;&gt;"",1,0)</f>
        <v>0</v>
      </c>
      <c r="I324" s="3" t="str">
        <f t="shared" ref="I324" si="536">IF(B322,CONCATENATE(C324,D324," ",E324,F324,G324),"")</f>
        <v/>
      </c>
    </row>
    <row r="325" spans="2:9" hidden="1" x14ac:dyDescent="0.25">
      <c r="H325" s="104">
        <f t="shared" si="535"/>
        <v>0</v>
      </c>
      <c r="I325" s="3" t="str">
        <f t="shared" ref="I325" si="537">IF(ISTEXT(B330),CONCATENATE("    // ",B330),"")</f>
        <v/>
      </c>
    </row>
    <row r="326" spans="2:9" hidden="1" x14ac:dyDescent="0.25">
      <c r="B326" s="101">
        <v>47</v>
      </c>
      <c r="C326" s="70" t="s">
        <v>107</v>
      </c>
      <c r="D326" s="71" t="str">
        <f t="shared" ref="D326" si="538">B328</f>
        <v/>
      </c>
      <c r="E326" s="71" t="str">
        <f t="shared" ref="E326" si="539">LOWER(E327)</f>
        <v/>
      </c>
      <c r="F326" s="71"/>
      <c r="G326" s="75" t="s">
        <v>72</v>
      </c>
      <c r="H326" s="104">
        <f t="shared" si="535"/>
        <v>0</v>
      </c>
      <c r="I326" s="3" t="str">
        <f t="shared" ref="I326" si="540">IF(B329,CONCATENATE(C326,D326," ",E326,F326,G326),"")</f>
        <v/>
      </c>
    </row>
    <row r="327" spans="2:9" hidden="1" x14ac:dyDescent="0.25">
      <c r="B327" s="102" t="str">
        <f>LOOKUP(B326,INICIO!A$10:A$109,INICIO!K$10:K$109)</f>
        <v/>
      </c>
      <c r="C327" s="72" t="s">
        <v>108</v>
      </c>
      <c r="D327" s="73" t="str">
        <f t="shared" ref="D327" si="541">B328</f>
        <v/>
      </c>
      <c r="E327" s="73" t="str">
        <f t="shared" ref="E327" si="542">B327</f>
        <v/>
      </c>
      <c r="F327" s="73"/>
      <c r="G327" s="76"/>
      <c r="H327" s="104">
        <f t="shared" si="535"/>
        <v>0</v>
      </c>
      <c r="I327" s="3" t="str">
        <f t="shared" ref="I327" si="543">IF(B329,CONCATENATE(C327,D327," ",E327,F327,G327),"")</f>
        <v/>
      </c>
    </row>
    <row r="328" spans="2:9" hidden="1" x14ac:dyDescent="0.25">
      <c r="B328" s="102" t="str">
        <f>LOOKUP(B326,INICIO!A$10:A$109,INICIO!L$10:L$109)</f>
        <v/>
      </c>
      <c r="C328" s="72" t="s">
        <v>109</v>
      </c>
      <c r="D328" s="73"/>
      <c r="E328" s="73"/>
      <c r="F328" s="73"/>
      <c r="G328" s="76"/>
      <c r="H328" s="104">
        <f t="shared" si="535"/>
        <v>0</v>
      </c>
      <c r="I328" s="3" t="str">
        <f t="shared" ref="I328" si="544">IF(B329,CONCATENATE(C328,D328," ",E328,F328,G328),"")</f>
        <v/>
      </c>
    </row>
    <row r="329" spans="2:9" hidden="1" x14ac:dyDescent="0.25">
      <c r="B329" s="102">
        <f>LOOKUP(B326,INICIO!A$10:A$109,INICIO!J$10:J$109)</f>
        <v>0</v>
      </c>
      <c r="C329" s="72" t="s">
        <v>110</v>
      </c>
      <c r="D329" s="73" t="str">
        <f t="shared" ref="D329" si="545">CONCATENATE(E326,F326)</f>
        <v/>
      </c>
      <c r="E329" s="73" t="s">
        <v>73</v>
      </c>
      <c r="F329" s="73"/>
      <c r="G329" s="76"/>
      <c r="H329" s="104">
        <f t="shared" si="535"/>
        <v>0</v>
      </c>
      <c r="I329" s="3" t="str">
        <f t="shared" ref="I329" si="546">IF(B329,CONCATENATE(C329,D329," ",E329,F329,G329),"")</f>
        <v/>
      </c>
    </row>
    <row r="330" spans="2:9" hidden="1" x14ac:dyDescent="0.25">
      <c r="B330" s="102">
        <f>LOOKUP(B326,INICIO!A$10:A$109,INICIO!E$10:E$109)</f>
        <v>0</v>
      </c>
      <c r="C330" s="72" t="s">
        <v>111</v>
      </c>
      <c r="D330" s="73" t="str">
        <f t="shared" ref="D330" si="547">CONCATENATE(E326,F326)</f>
        <v/>
      </c>
      <c r="E330" s="73" t="s">
        <v>74</v>
      </c>
      <c r="F330" s="73"/>
      <c r="G330" s="76"/>
      <c r="H330" s="104">
        <f t="shared" si="535"/>
        <v>0</v>
      </c>
      <c r="I330" s="3" t="str">
        <f t="shared" ref="I330" si="548">IF(B329,CONCATENATE(C330,D330," ",E330,F330,G330),"")</f>
        <v/>
      </c>
    </row>
    <row r="331" spans="2:9" hidden="1" x14ac:dyDescent="0.25">
      <c r="B331" s="103"/>
      <c r="C331" s="74" t="s">
        <v>112</v>
      </c>
      <c r="D331" s="40"/>
      <c r="E331" s="40"/>
      <c r="F331" s="40"/>
      <c r="G331" s="77"/>
      <c r="H331" s="104">
        <f t="shared" si="535"/>
        <v>0</v>
      </c>
      <c r="I331" s="3" t="str">
        <f t="shared" ref="I331" si="549">IF(B329,CONCATENATE(C331,D331," ",E331,F331,G331),"")</f>
        <v/>
      </c>
    </row>
    <row r="332" spans="2:9" hidden="1" x14ac:dyDescent="0.25">
      <c r="H332" s="104">
        <f t="shared" si="535"/>
        <v>0</v>
      </c>
      <c r="I332" s="3" t="str">
        <f t="shared" ref="I332" si="550">IF(ISTEXT(B337),CONCATENATE("    // ",B337),"")</f>
        <v/>
      </c>
    </row>
    <row r="333" spans="2:9" hidden="1" x14ac:dyDescent="0.25">
      <c r="B333" s="101">
        <v>48</v>
      </c>
      <c r="C333" s="70" t="s">
        <v>107</v>
      </c>
      <c r="D333" s="71" t="str">
        <f t="shared" ref="D333" si="551">B335</f>
        <v/>
      </c>
      <c r="E333" s="71" t="str">
        <f t="shared" ref="E333" si="552">LOWER(E334)</f>
        <v/>
      </c>
      <c r="F333" s="71"/>
      <c r="G333" s="75" t="s">
        <v>72</v>
      </c>
      <c r="H333" s="104">
        <f t="shared" si="535"/>
        <v>0</v>
      </c>
      <c r="I333" s="3" t="str">
        <f t="shared" ref="I333" si="553">IF(B336,CONCATENATE(C333,D333," ",E333,F333,G333),"")</f>
        <v/>
      </c>
    </row>
    <row r="334" spans="2:9" hidden="1" x14ac:dyDescent="0.25">
      <c r="B334" s="102" t="str">
        <f>LOOKUP(B333,INICIO!A$10:A$109,INICIO!K$10:K$109)</f>
        <v/>
      </c>
      <c r="C334" s="72" t="s">
        <v>108</v>
      </c>
      <c r="D334" s="73" t="str">
        <f t="shared" ref="D334" si="554">B335</f>
        <v/>
      </c>
      <c r="E334" s="73" t="str">
        <f t="shared" ref="E334" si="555">B334</f>
        <v/>
      </c>
      <c r="F334" s="73"/>
      <c r="G334" s="76"/>
      <c r="H334" s="104">
        <f t="shared" si="535"/>
        <v>0</v>
      </c>
      <c r="I334" s="3" t="str">
        <f t="shared" ref="I334" si="556">IF(B336,CONCATENATE(C334,D334," ",E334,F334,G334),"")</f>
        <v/>
      </c>
    </row>
    <row r="335" spans="2:9" hidden="1" x14ac:dyDescent="0.25">
      <c r="B335" s="102" t="str">
        <f>LOOKUP(B333,INICIO!A$10:A$109,INICIO!L$10:L$109)</f>
        <v/>
      </c>
      <c r="C335" s="72" t="s">
        <v>109</v>
      </c>
      <c r="D335" s="73"/>
      <c r="E335" s="73"/>
      <c r="F335" s="73"/>
      <c r="G335" s="76"/>
      <c r="H335" s="104">
        <f t="shared" si="535"/>
        <v>0</v>
      </c>
      <c r="I335" s="3" t="str">
        <f t="shared" ref="I335" si="557">IF(B336,CONCATENATE(C335,D335," ",E335,F335,G335),"")</f>
        <v/>
      </c>
    </row>
    <row r="336" spans="2:9" hidden="1" x14ac:dyDescent="0.25">
      <c r="B336" s="102">
        <f>LOOKUP(B333,INICIO!A$10:A$109,INICIO!J$10:J$109)</f>
        <v>0</v>
      </c>
      <c r="C336" s="72" t="s">
        <v>110</v>
      </c>
      <c r="D336" s="73" t="str">
        <f t="shared" ref="D336" si="558">CONCATENATE(E333,F333)</f>
        <v/>
      </c>
      <c r="E336" s="73" t="s">
        <v>73</v>
      </c>
      <c r="F336" s="73"/>
      <c r="G336" s="76"/>
      <c r="H336" s="104">
        <f t="shared" si="535"/>
        <v>0</v>
      </c>
      <c r="I336" s="3" t="str">
        <f t="shared" ref="I336" si="559">IF(B336,CONCATENATE(C336,D336," ",E336,F336,G336),"")</f>
        <v/>
      </c>
    </row>
    <row r="337" spans="2:9" hidden="1" x14ac:dyDescent="0.25">
      <c r="B337" s="102">
        <f>LOOKUP(B333,INICIO!A$10:A$109,INICIO!E$10:E$109)</f>
        <v>0</v>
      </c>
      <c r="C337" s="72" t="s">
        <v>111</v>
      </c>
      <c r="D337" s="73" t="str">
        <f t="shared" ref="D337" si="560">CONCATENATE(E333,F333)</f>
        <v/>
      </c>
      <c r="E337" s="73" t="s">
        <v>74</v>
      </c>
      <c r="F337" s="73"/>
      <c r="G337" s="76"/>
      <c r="H337" s="104">
        <f t="shared" si="535"/>
        <v>0</v>
      </c>
      <c r="I337" s="3" t="str">
        <f t="shared" ref="I337" si="561">IF(B336,CONCATENATE(C337,D337," ",E337,F337,G337),"")</f>
        <v/>
      </c>
    </row>
    <row r="338" spans="2:9" hidden="1" x14ac:dyDescent="0.25">
      <c r="B338" s="103"/>
      <c r="C338" s="74" t="s">
        <v>112</v>
      </c>
      <c r="D338" s="40"/>
      <c r="E338" s="40"/>
      <c r="F338" s="40"/>
      <c r="G338" s="77"/>
      <c r="H338" s="104">
        <f t="shared" si="535"/>
        <v>0</v>
      </c>
      <c r="I338" s="3" t="str">
        <f t="shared" ref="I338" si="562">IF(B336,CONCATENATE(C338,D338," ",E338,F338,G338),"")</f>
        <v/>
      </c>
    </row>
    <row r="339" spans="2:9" hidden="1" x14ac:dyDescent="0.25">
      <c r="H339" s="104">
        <f t="shared" si="535"/>
        <v>0</v>
      </c>
      <c r="I339" s="3" t="str">
        <f t="shared" ref="I339" si="563">IF(ISTEXT(B344),CONCATENATE("    // ",B344),"")</f>
        <v/>
      </c>
    </row>
    <row r="340" spans="2:9" hidden="1" x14ac:dyDescent="0.25">
      <c r="B340" s="101">
        <v>49</v>
      </c>
      <c r="C340" s="70" t="s">
        <v>107</v>
      </c>
      <c r="D340" s="71" t="str">
        <f t="shared" ref="D340" si="564">B342</f>
        <v/>
      </c>
      <c r="E340" s="71" t="str">
        <f t="shared" ref="E340" si="565">LOWER(E341)</f>
        <v/>
      </c>
      <c r="F340" s="71"/>
      <c r="G340" s="75" t="s">
        <v>72</v>
      </c>
      <c r="H340" s="104">
        <f t="shared" si="535"/>
        <v>0</v>
      </c>
      <c r="I340" s="3" t="str">
        <f t="shared" ref="I340" si="566">IF(B343,CONCATENATE(C340,D340," ",E340,F340,G340),"")</f>
        <v/>
      </c>
    </row>
    <row r="341" spans="2:9" hidden="1" x14ac:dyDescent="0.25">
      <c r="B341" s="102" t="str">
        <f>LOOKUP(B340,INICIO!A$10:A$109,INICIO!K$10:K$109)</f>
        <v/>
      </c>
      <c r="C341" s="72" t="s">
        <v>108</v>
      </c>
      <c r="D341" s="73" t="str">
        <f t="shared" ref="D341" si="567">B342</f>
        <v/>
      </c>
      <c r="E341" s="73" t="str">
        <f t="shared" ref="E341" si="568">B341</f>
        <v/>
      </c>
      <c r="F341" s="73"/>
      <c r="G341" s="76"/>
      <c r="H341" s="104">
        <f t="shared" si="535"/>
        <v>0</v>
      </c>
      <c r="I341" s="3" t="str">
        <f t="shared" ref="I341" si="569">IF(B343,CONCATENATE(C341,D341," ",E341,F341,G341),"")</f>
        <v/>
      </c>
    </row>
    <row r="342" spans="2:9" hidden="1" x14ac:dyDescent="0.25">
      <c r="B342" s="102" t="str">
        <f>LOOKUP(B340,INICIO!A$10:A$109,INICIO!L$10:L$109)</f>
        <v/>
      </c>
      <c r="C342" s="72" t="s">
        <v>109</v>
      </c>
      <c r="D342" s="73"/>
      <c r="E342" s="73"/>
      <c r="F342" s="73"/>
      <c r="G342" s="76"/>
      <c r="H342" s="104">
        <f t="shared" si="535"/>
        <v>0</v>
      </c>
      <c r="I342" s="3" t="str">
        <f t="shared" ref="I342" si="570">IF(B343,CONCATENATE(C342,D342," ",E342,F342,G342),"")</f>
        <v/>
      </c>
    </row>
    <row r="343" spans="2:9" hidden="1" x14ac:dyDescent="0.25">
      <c r="B343" s="102">
        <f>LOOKUP(B340,INICIO!A$10:A$109,INICIO!J$10:J$109)</f>
        <v>0</v>
      </c>
      <c r="C343" s="72" t="s">
        <v>110</v>
      </c>
      <c r="D343" s="73" t="str">
        <f t="shared" ref="D343" si="571">CONCATENATE(E340,F340)</f>
        <v/>
      </c>
      <c r="E343" s="73" t="s">
        <v>73</v>
      </c>
      <c r="F343" s="73"/>
      <c r="G343" s="76"/>
      <c r="H343" s="104">
        <f t="shared" si="535"/>
        <v>0</v>
      </c>
      <c r="I343" s="3" t="str">
        <f t="shared" ref="I343" si="572">IF(B343,CONCATENATE(C343,D343," ",E343,F343,G343),"")</f>
        <v/>
      </c>
    </row>
    <row r="344" spans="2:9" hidden="1" x14ac:dyDescent="0.25">
      <c r="B344" s="102">
        <f>LOOKUP(B340,INICIO!A$10:A$109,INICIO!E$10:E$109)</f>
        <v>0</v>
      </c>
      <c r="C344" s="72" t="s">
        <v>111</v>
      </c>
      <c r="D344" s="73" t="str">
        <f t="shared" ref="D344" si="573">CONCATENATE(E340,F340)</f>
        <v/>
      </c>
      <c r="E344" s="73" t="s">
        <v>74</v>
      </c>
      <c r="F344" s="73"/>
      <c r="G344" s="76"/>
      <c r="H344" s="104">
        <f t="shared" si="535"/>
        <v>0</v>
      </c>
      <c r="I344" s="3" t="str">
        <f t="shared" ref="I344" si="574">IF(B343,CONCATENATE(C344,D344," ",E344,F344,G344),"")</f>
        <v/>
      </c>
    </row>
    <row r="345" spans="2:9" hidden="1" x14ac:dyDescent="0.25">
      <c r="B345" s="103"/>
      <c r="C345" s="74" t="s">
        <v>112</v>
      </c>
      <c r="D345" s="40"/>
      <c r="E345" s="40"/>
      <c r="F345" s="40"/>
      <c r="G345" s="77"/>
      <c r="H345" s="104">
        <f t="shared" si="535"/>
        <v>0</v>
      </c>
      <c r="I345" s="3" t="str">
        <f t="shared" ref="I345" si="575">IF(B343,CONCATENATE(C345,D345," ",E345,F345,G345),"")</f>
        <v/>
      </c>
    </row>
    <row r="346" spans="2:9" hidden="1" x14ac:dyDescent="0.25">
      <c r="H346" s="104">
        <f t="shared" si="535"/>
        <v>0</v>
      </c>
      <c r="I346" s="3" t="str">
        <f t="shared" ref="I346" si="576">IF(ISTEXT(B351),CONCATENATE("    // ",B351),"")</f>
        <v/>
      </c>
    </row>
    <row r="347" spans="2:9" hidden="1" x14ac:dyDescent="0.25">
      <c r="B347" s="101">
        <v>50</v>
      </c>
      <c r="C347" s="70" t="s">
        <v>107</v>
      </c>
      <c r="D347" s="71" t="str">
        <f t="shared" ref="D347" si="577">B349</f>
        <v/>
      </c>
      <c r="E347" s="71" t="str">
        <f t="shared" ref="E347" si="578">LOWER(E348)</f>
        <v/>
      </c>
      <c r="F347" s="71"/>
      <c r="G347" s="75" t="s">
        <v>72</v>
      </c>
      <c r="H347" s="104">
        <f t="shared" si="535"/>
        <v>0</v>
      </c>
      <c r="I347" s="3" t="str">
        <f t="shared" ref="I347" si="579">IF(B350,CONCATENATE(C347,D347," ",E347,F347,G347),"")</f>
        <v/>
      </c>
    </row>
    <row r="348" spans="2:9" hidden="1" x14ac:dyDescent="0.25">
      <c r="B348" s="102" t="str">
        <f>LOOKUP(B347,INICIO!A$10:A$109,INICIO!K$10:K$109)</f>
        <v/>
      </c>
      <c r="C348" s="72" t="s">
        <v>108</v>
      </c>
      <c r="D348" s="73" t="str">
        <f t="shared" ref="D348" si="580">B349</f>
        <v/>
      </c>
      <c r="E348" s="73" t="str">
        <f t="shared" ref="E348" si="581">B348</f>
        <v/>
      </c>
      <c r="F348" s="73"/>
      <c r="G348" s="76"/>
      <c r="H348" s="104">
        <f t="shared" si="535"/>
        <v>0</v>
      </c>
      <c r="I348" s="3" t="str">
        <f t="shared" ref="I348" si="582">IF(B350,CONCATENATE(C348,D348," ",E348,F348,G348),"")</f>
        <v/>
      </c>
    </row>
    <row r="349" spans="2:9" hidden="1" x14ac:dyDescent="0.25">
      <c r="B349" s="102" t="str">
        <f>LOOKUP(B347,INICIO!A$10:A$109,INICIO!L$10:L$109)</f>
        <v/>
      </c>
      <c r="C349" s="72" t="s">
        <v>109</v>
      </c>
      <c r="D349" s="73"/>
      <c r="E349" s="73"/>
      <c r="F349" s="73"/>
      <c r="G349" s="76"/>
      <c r="H349" s="104">
        <f t="shared" si="535"/>
        <v>0</v>
      </c>
      <c r="I349" s="3" t="str">
        <f t="shared" ref="I349" si="583">IF(B350,CONCATENATE(C349,D349," ",E349,F349,G349),"")</f>
        <v/>
      </c>
    </row>
    <row r="350" spans="2:9" hidden="1" x14ac:dyDescent="0.25">
      <c r="B350" s="102">
        <f>LOOKUP(B347,INICIO!A$10:A$109,INICIO!J$10:J$109)</f>
        <v>0</v>
      </c>
      <c r="C350" s="72" t="s">
        <v>110</v>
      </c>
      <c r="D350" s="73" t="str">
        <f t="shared" ref="D350" si="584">CONCATENATE(E347,F347)</f>
        <v/>
      </c>
      <c r="E350" s="73" t="s">
        <v>73</v>
      </c>
      <c r="F350" s="73"/>
      <c r="G350" s="76"/>
      <c r="H350" s="104">
        <f t="shared" si="535"/>
        <v>0</v>
      </c>
      <c r="I350" s="3" t="str">
        <f t="shared" ref="I350" si="585">IF(B350,CONCATENATE(C350,D350," ",E350,F350,G350),"")</f>
        <v/>
      </c>
    </row>
    <row r="351" spans="2:9" hidden="1" x14ac:dyDescent="0.25">
      <c r="B351" s="102">
        <f>LOOKUP(B347,INICIO!A$10:A$109,INICIO!E$10:E$109)</f>
        <v>0</v>
      </c>
      <c r="C351" s="72" t="s">
        <v>111</v>
      </c>
      <c r="D351" s="73" t="str">
        <f t="shared" ref="D351" si="586">CONCATENATE(E347,F347)</f>
        <v/>
      </c>
      <c r="E351" s="73" t="s">
        <v>74</v>
      </c>
      <c r="F351" s="73"/>
      <c r="G351" s="76"/>
      <c r="H351" s="104">
        <f t="shared" si="535"/>
        <v>0</v>
      </c>
      <c r="I351" s="3" t="str">
        <f t="shared" ref="I351" si="587">IF(B350,CONCATENATE(C351,D351," ",E351,F351,G351),"")</f>
        <v/>
      </c>
    </row>
    <row r="352" spans="2:9" hidden="1" x14ac:dyDescent="0.25">
      <c r="B352" s="103"/>
      <c r="C352" s="74" t="s">
        <v>112</v>
      </c>
      <c r="D352" s="40"/>
      <c r="E352" s="40"/>
      <c r="F352" s="40"/>
      <c r="G352" s="77"/>
      <c r="H352" s="104">
        <f t="shared" si="535"/>
        <v>0</v>
      </c>
      <c r="I352" s="3" t="str">
        <f t="shared" ref="I352" si="588">IF(B350,CONCATENATE(C352,D352," ",E352,F352,G352),"")</f>
        <v/>
      </c>
    </row>
    <row r="353" spans="2:9" hidden="1" x14ac:dyDescent="0.25">
      <c r="H353" s="104">
        <f t="shared" si="535"/>
        <v>0</v>
      </c>
      <c r="I353" s="3" t="str">
        <f t="shared" ref="I353" si="589">IF(ISTEXT(B358),CONCATENATE("    // ",B358),"")</f>
        <v/>
      </c>
    </row>
    <row r="354" spans="2:9" hidden="1" x14ac:dyDescent="0.25">
      <c r="B354" s="101">
        <v>51</v>
      </c>
      <c r="C354" s="70" t="s">
        <v>107</v>
      </c>
      <c r="D354" s="71" t="str">
        <f t="shared" ref="D354" si="590">B356</f>
        <v/>
      </c>
      <c r="E354" s="71" t="str">
        <f t="shared" ref="E354" si="591">LOWER(E355)</f>
        <v/>
      </c>
      <c r="F354" s="71"/>
      <c r="G354" s="75" t="s">
        <v>72</v>
      </c>
      <c r="H354" s="104">
        <f t="shared" si="535"/>
        <v>0</v>
      </c>
      <c r="I354" s="3" t="str">
        <f t="shared" ref="I354" si="592">IF(B357,CONCATENATE(C354,D354," ",E354,F354,G354),"")</f>
        <v/>
      </c>
    </row>
    <row r="355" spans="2:9" hidden="1" x14ac:dyDescent="0.25">
      <c r="B355" s="102" t="str">
        <f>LOOKUP(B354,INICIO!A$10:A$109,INICIO!K$10:K$109)</f>
        <v/>
      </c>
      <c r="C355" s="72" t="s">
        <v>108</v>
      </c>
      <c r="D355" s="73" t="str">
        <f t="shared" ref="D355" si="593">B356</f>
        <v/>
      </c>
      <c r="E355" s="73" t="str">
        <f t="shared" ref="E355" si="594">B355</f>
        <v/>
      </c>
      <c r="F355" s="73"/>
      <c r="G355" s="76"/>
      <c r="H355" s="104">
        <f t="shared" si="535"/>
        <v>0</v>
      </c>
      <c r="I355" s="3" t="str">
        <f t="shared" ref="I355" si="595">IF(B357,CONCATENATE(C355,D355," ",E355,F355,G355),"")</f>
        <v/>
      </c>
    </row>
    <row r="356" spans="2:9" hidden="1" x14ac:dyDescent="0.25">
      <c r="B356" s="102" t="str">
        <f>LOOKUP(B354,INICIO!A$10:A$109,INICIO!L$10:L$109)</f>
        <v/>
      </c>
      <c r="C356" s="72" t="s">
        <v>109</v>
      </c>
      <c r="D356" s="73"/>
      <c r="E356" s="73"/>
      <c r="F356" s="73"/>
      <c r="G356" s="76"/>
      <c r="H356" s="104">
        <f t="shared" si="535"/>
        <v>0</v>
      </c>
      <c r="I356" s="3" t="str">
        <f t="shared" ref="I356" si="596">IF(B357,CONCATENATE(C356,D356," ",E356,F356,G356),"")</f>
        <v/>
      </c>
    </row>
    <row r="357" spans="2:9" hidden="1" x14ac:dyDescent="0.25">
      <c r="B357" s="102">
        <f>LOOKUP(B354,INICIO!A$10:A$109,INICIO!J$10:J$109)</f>
        <v>0</v>
      </c>
      <c r="C357" s="72" t="s">
        <v>110</v>
      </c>
      <c r="D357" s="73" t="str">
        <f t="shared" ref="D357" si="597">CONCATENATE(E354,F354)</f>
        <v/>
      </c>
      <c r="E357" s="73" t="s">
        <v>73</v>
      </c>
      <c r="F357" s="73"/>
      <c r="G357" s="76"/>
      <c r="H357" s="104">
        <f t="shared" si="535"/>
        <v>0</v>
      </c>
      <c r="I357" s="3" t="str">
        <f t="shared" ref="I357" si="598">IF(B357,CONCATENATE(C357,D357," ",E357,F357,G357),"")</f>
        <v/>
      </c>
    </row>
    <row r="358" spans="2:9" hidden="1" x14ac:dyDescent="0.25">
      <c r="B358" s="102">
        <f>LOOKUP(B354,INICIO!A$10:A$109,INICIO!E$10:E$109)</f>
        <v>0</v>
      </c>
      <c r="C358" s="72" t="s">
        <v>111</v>
      </c>
      <c r="D358" s="73" t="str">
        <f t="shared" ref="D358" si="599">CONCATENATE(E354,F354)</f>
        <v/>
      </c>
      <c r="E358" s="73" t="s">
        <v>74</v>
      </c>
      <c r="F358" s="73"/>
      <c r="G358" s="76"/>
      <c r="H358" s="104">
        <f t="shared" si="535"/>
        <v>0</v>
      </c>
      <c r="I358" s="3" t="str">
        <f t="shared" ref="I358" si="600">IF(B357,CONCATENATE(C358,D358," ",E358,F358,G358),"")</f>
        <v/>
      </c>
    </row>
    <row r="359" spans="2:9" hidden="1" x14ac:dyDescent="0.25">
      <c r="B359" s="103"/>
      <c r="C359" s="74" t="s">
        <v>112</v>
      </c>
      <c r="D359" s="40"/>
      <c r="E359" s="40"/>
      <c r="F359" s="40"/>
      <c r="G359" s="77"/>
      <c r="H359" s="104">
        <f t="shared" si="535"/>
        <v>0</v>
      </c>
      <c r="I359" s="3" t="str">
        <f t="shared" ref="I359" si="601">IF(B357,CONCATENATE(C359,D359," ",E359,F359,G359),"")</f>
        <v/>
      </c>
    </row>
    <row r="360" spans="2:9" hidden="1" x14ac:dyDescent="0.25">
      <c r="H360" s="104">
        <f t="shared" si="535"/>
        <v>0</v>
      </c>
      <c r="I360" s="3" t="str">
        <f t="shared" ref="I360" si="602">IF(ISTEXT(B365),CONCATENATE("    // ",B365),"")</f>
        <v/>
      </c>
    </row>
    <row r="361" spans="2:9" hidden="1" x14ac:dyDescent="0.25">
      <c r="B361" s="101">
        <v>52</v>
      </c>
      <c r="C361" s="70" t="s">
        <v>107</v>
      </c>
      <c r="D361" s="71" t="str">
        <f t="shared" ref="D361" si="603">B363</f>
        <v/>
      </c>
      <c r="E361" s="71" t="str">
        <f t="shared" ref="E361" si="604">LOWER(E362)</f>
        <v/>
      </c>
      <c r="F361" s="71"/>
      <c r="G361" s="75" t="s">
        <v>72</v>
      </c>
      <c r="H361" s="104">
        <f t="shared" si="535"/>
        <v>0</v>
      </c>
      <c r="I361" s="3" t="str">
        <f t="shared" ref="I361" si="605">IF(B364,CONCATENATE(C361,D361," ",E361,F361,G361),"")</f>
        <v/>
      </c>
    </row>
    <row r="362" spans="2:9" hidden="1" x14ac:dyDescent="0.25">
      <c r="B362" s="102" t="str">
        <f>LOOKUP(B361,INICIO!A$10:A$109,INICIO!K$10:K$109)</f>
        <v/>
      </c>
      <c r="C362" s="72" t="s">
        <v>108</v>
      </c>
      <c r="D362" s="73" t="str">
        <f t="shared" ref="D362" si="606">B363</f>
        <v/>
      </c>
      <c r="E362" s="73" t="str">
        <f t="shared" ref="E362" si="607">B362</f>
        <v/>
      </c>
      <c r="F362" s="73"/>
      <c r="G362" s="76"/>
      <c r="H362" s="104">
        <f t="shared" si="535"/>
        <v>0</v>
      </c>
      <c r="I362" s="3" t="str">
        <f t="shared" ref="I362" si="608">IF(B364,CONCATENATE(C362,D362," ",E362,F362,G362),"")</f>
        <v/>
      </c>
    </row>
    <row r="363" spans="2:9" hidden="1" x14ac:dyDescent="0.25">
      <c r="B363" s="102" t="str">
        <f>LOOKUP(B361,INICIO!A$10:A$109,INICIO!L$10:L$109)</f>
        <v/>
      </c>
      <c r="C363" s="72" t="s">
        <v>109</v>
      </c>
      <c r="D363" s="73"/>
      <c r="E363" s="73"/>
      <c r="F363" s="73"/>
      <c r="G363" s="76"/>
      <c r="H363" s="104">
        <f t="shared" si="535"/>
        <v>0</v>
      </c>
      <c r="I363" s="3" t="str">
        <f t="shared" ref="I363" si="609">IF(B364,CONCATENATE(C363,D363," ",E363,F363,G363),"")</f>
        <v/>
      </c>
    </row>
    <row r="364" spans="2:9" hidden="1" x14ac:dyDescent="0.25">
      <c r="B364" s="102">
        <f>LOOKUP(B361,INICIO!A$10:A$109,INICIO!J$10:J$109)</f>
        <v>0</v>
      </c>
      <c r="C364" s="72" t="s">
        <v>110</v>
      </c>
      <c r="D364" s="73" t="str">
        <f t="shared" ref="D364" si="610">CONCATENATE(E361,F361)</f>
        <v/>
      </c>
      <c r="E364" s="73" t="s">
        <v>73</v>
      </c>
      <c r="F364" s="73"/>
      <c r="G364" s="76"/>
      <c r="H364" s="104">
        <f t="shared" si="535"/>
        <v>0</v>
      </c>
      <c r="I364" s="3" t="str">
        <f t="shared" ref="I364" si="611">IF(B364,CONCATENATE(C364,D364," ",E364,F364,G364),"")</f>
        <v/>
      </c>
    </row>
    <row r="365" spans="2:9" hidden="1" x14ac:dyDescent="0.25">
      <c r="B365" s="102">
        <f>LOOKUP(B361,INICIO!A$10:A$109,INICIO!E$10:E$109)</f>
        <v>0</v>
      </c>
      <c r="C365" s="72" t="s">
        <v>111</v>
      </c>
      <c r="D365" s="73" t="str">
        <f t="shared" ref="D365" si="612">CONCATENATE(E361,F361)</f>
        <v/>
      </c>
      <c r="E365" s="73" t="s">
        <v>74</v>
      </c>
      <c r="F365" s="73"/>
      <c r="G365" s="76"/>
      <c r="H365" s="104">
        <f t="shared" si="535"/>
        <v>0</v>
      </c>
      <c r="I365" s="3" t="str">
        <f t="shared" ref="I365" si="613">IF(B364,CONCATENATE(C365,D365," ",E365,F365,G365),"")</f>
        <v/>
      </c>
    </row>
    <row r="366" spans="2:9" hidden="1" x14ac:dyDescent="0.25">
      <c r="B366" s="103"/>
      <c r="C366" s="74" t="s">
        <v>112</v>
      </c>
      <c r="D366" s="40"/>
      <c r="E366" s="40"/>
      <c r="F366" s="40"/>
      <c r="G366" s="77"/>
      <c r="H366" s="104">
        <f t="shared" si="535"/>
        <v>0</v>
      </c>
      <c r="I366" s="3" t="str">
        <f t="shared" ref="I366" si="614">IF(B364,CONCATENATE(C366,D366," ",E366,F366,G366),"")</f>
        <v/>
      </c>
    </row>
    <row r="367" spans="2:9" hidden="1" x14ac:dyDescent="0.25">
      <c r="H367" s="104">
        <f t="shared" si="535"/>
        <v>0</v>
      </c>
      <c r="I367" s="3" t="str">
        <f t="shared" ref="I367" si="615">IF(ISTEXT(B372),CONCATENATE("    // ",B372),"")</f>
        <v/>
      </c>
    </row>
    <row r="368" spans="2:9" hidden="1" x14ac:dyDescent="0.25">
      <c r="B368" s="101">
        <v>53</v>
      </c>
      <c r="C368" s="70" t="s">
        <v>107</v>
      </c>
      <c r="D368" s="71" t="str">
        <f t="shared" ref="D368" si="616">B370</f>
        <v/>
      </c>
      <c r="E368" s="71" t="str">
        <f t="shared" ref="E368" si="617">LOWER(E369)</f>
        <v/>
      </c>
      <c r="F368" s="71"/>
      <c r="G368" s="75" t="s">
        <v>72</v>
      </c>
      <c r="H368" s="104">
        <f t="shared" si="535"/>
        <v>0</v>
      </c>
      <c r="I368" s="3" t="str">
        <f t="shared" ref="I368" si="618">IF(B371,CONCATENATE(C368,D368," ",E368,F368,G368),"")</f>
        <v/>
      </c>
    </row>
    <row r="369" spans="2:9" hidden="1" x14ac:dyDescent="0.25">
      <c r="B369" s="102" t="str">
        <f>LOOKUP(B368,INICIO!A$10:A$109,INICIO!K$10:K$109)</f>
        <v/>
      </c>
      <c r="C369" s="72" t="s">
        <v>108</v>
      </c>
      <c r="D369" s="73" t="str">
        <f t="shared" ref="D369" si="619">B370</f>
        <v/>
      </c>
      <c r="E369" s="73" t="str">
        <f t="shared" ref="E369" si="620">B369</f>
        <v/>
      </c>
      <c r="F369" s="73"/>
      <c r="G369" s="76"/>
      <c r="H369" s="104">
        <f t="shared" si="535"/>
        <v>0</v>
      </c>
      <c r="I369" s="3" t="str">
        <f t="shared" ref="I369" si="621">IF(B371,CONCATENATE(C369,D369," ",E369,F369,G369),"")</f>
        <v/>
      </c>
    </row>
    <row r="370" spans="2:9" hidden="1" x14ac:dyDescent="0.25">
      <c r="B370" s="102" t="str">
        <f>LOOKUP(B368,INICIO!A$10:A$109,INICIO!L$10:L$109)</f>
        <v/>
      </c>
      <c r="C370" s="72" t="s">
        <v>109</v>
      </c>
      <c r="D370" s="73"/>
      <c r="E370" s="73"/>
      <c r="F370" s="73"/>
      <c r="G370" s="76"/>
      <c r="H370" s="104">
        <f t="shared" si="535"/>
        <v>0</v>
      </c>
      <c r="I370" s="3" t="str">
        <f t="shared" ref="I370" si="622">IF(B371,CONCATENATE(C370,D370," ",E370,F370,G370),"")</f>
        <v/>
      </c>
    </row>
    <row r="371" spans="2:9" hidden="1" x14ac:dyDescent="0.25">
      <c r="B371" s="102">
        <f>LOOKUP(B368,INICIO!A$10:A$109,INICIO!J$10:J$109)</f>
        <v>0</v>
      </c>
      <c r="C371" s="72" t="s">
        <v>110</v>
      </c>
      <c r="D371" s="73" t="str">
        <f t="shared" ref="D371" si="623">CONCATENATE(E368,F368)</f>
        <v/>
      </c>
      <c r="E371" s="73" t="s">
        <v>73</v>
      </c>
      <c r="F371" s="73"/>
      <c r="G371" s="76"/>
      <c r="H371" s="104">
        <f t="shared" si="535"/>
        <v>0</v>
      </c>
      <c r="I371" s="3" t="str">
        <f t="shared" ref="I371" si="624">IF(B371,CONCATENATE(C371,D371," ",E371,F371,G371),"")</f>
        <v/>
      </c>
    </row>
    <row r="372" spans="2:9" hidden="1" x14ac:dyDescent="0.25">
      <c r="B372" s="102">
        <f>LOOKUP(B368,INICIO!A$10:A$109,INICIO!E$10:E$109)</f>
        <v>0</v>
      </c>
      <c r="C372" s="72" t="s">
        <v>111</v>
      </c>
      <c r="D372" s="73" t="str">
        <f t="shared" ref="D372" si="625">CONCATENATE(E368,F368)</f>
        <v/>
      </c>
      <c r="E372" s="73" t="s">
        <v>74</v>
      </c>
      <c r="F372" s="73"/>
      <c r="G372" s="76"/>
      <c r="H372" s="104">
        <f t="shared" si="535"/>
        <v>0</v>
      </c>
      <c r="I372" s="3" t="str">
        <f t="shared" ref="I372" si="626">IF(B371,CONCATENATE(C372,D372," ",E372,F372,G372),"")</f>
        <v/>
      </c>
    </row>
    <row r="373" spans="2:9" hidden="1" x14ac:dyDescent="0.25">
      <c r="B373" s="103"/>
      <c r="C373" s="74" t="s">
        <v>112</v>
      </c>
      <c r="D373" s="40"/>
      <c r="E373" s="40"/>
      <c r="F373" s="40"/>
      <c r="G373" s="77"/>
      <c r="H373" s="104">
        <f t="shared" si="535"/>
        <v>0</v>
      </c>
      <c r="I373" s="3" t="str">
        <f t="shared" ref="I373" si="627">IF(B371,CONCATENATE(C373,D373," ",E373,F373,G373),"")</f>
        <v/>
      </c>
    </row>
    <row r="374" spans="2:9" hidden="1" x14ac:dyDescent="0.25">
      <c r="H374" s="104">
        <f t="shared" si="535"/>
        <v>0</v>
      </c>
      <c r="I374" s="3" t="str">
        <f t="shared" ref="I374" si="628">IF(ISTEXT(B379),CONCATENATE("    // ",B379),"")</f>
        <v/>
      </c>
    </row>
    <row r="375" spans="2:9" hidden="1" x14ac:dyDescent="0.25">
      <c r="B375" s="101">
        <v>54</v>
      </c>
      <c r="C375" s="70" t="s">
        <v>107</v>
      </c>
      <c r="D375" s="71" t="str">
        <f t="shared" ref="D375" si="629">B377</f>
        <v/>
      </c>
      <c r="E375" s="71" t="str">
        <f t="shared" ref="E375" si="630">LOWER(E376)</f>
        <v/>
      </c>
      <c r="F375" s="71"/>
      <c r="G375" s="75" t="s">
        <v>72</v>
      </c>
      <c r="H375" s="104">
        <f t="shared" si="535"/>
        <v>0</v>
      </c>
      <c r="I375" s="3" t="str">
        <f t="shared" ref="I375" si="631">IF(B378,CONCATENATE(C375,D375," ",E375,F375,G375),"")</f>
        <v/>
      </c>
    </row>
    <row r="376" spans="2:9" hidden="1" x14ac:dyDescent="0.25">
      <c r="B376" s="102" t="str">
        <f>LOOKUP(B375,INICIO!A$10:A$109,INICIO!K$10:K$109)</f>
        <v/>
      </c>
      <c r="C376" s="72" t="s">
        <v>108</v>
      </c>
      <c r="D376" s="73" t="str">
        <f t="shared" ref="D376" si="632">B377</f>
        <v/>
      </c>
      <c r="E376" s="73" t="str">
        <f t="shared" ref="E376" si="633">B376</f>
        <v/>
      </c>
      <c r="F376" s="73"/>
      <c r="G376" s="76"/>
      <c r="H376" s="104">
        <f t="shared" si="535"/>
        <v>0</v>
      </c>
      <c r="I376" s="3" t="str">
        <f t="shared" ref="I376" si="634">IF(B378,CONCATENATE(C376,D376," ",E376,F376,G376),"")</f>
        <v/>
      </c>
    </row>
    <row r="377" spans="2:9" hidden="1" x14ac:dyDescent="0.25">
      <c r="B377" s="102" t="str">
        <f>LOOKUP(B375,INICIO!A$10:A$109,INICIO!L$10:L$109)</f>
        <v/>
      </c>
      <c r="C377" s="72" t="s">
        <v>109</v>
      </c>
      <c r="D377" s="73"/>
      <c r="E377" s="73"/>
      <c r="F377" s="73"/>
      <c r="G377" s="76"/>
      <c r="H377" s="104">
        <f t="shared" si="535"/>
        <v>0</v>
      </c>
      <c r="I377" s="3" t="str">
        <f t="shared" ref="I377" si="635">IF(B378,CONCATENATE(C377,D377," ",E377,F377,G377),"")</f>
        <v/>
      </c>
    </row>
    <row r="378" spans="2:9" hidden="1" x14ac:dyDescent="0.25">
      <c r="B378" s="102">
        <f>LOOKUP(B375,INICIO!A$10:A$109,INICIO!J$10:J$109)</f>
        <v>0</v>
      </c>
      <c r="C378" s="72" t="s">
        <v>110</v>
      </c>
      <c r="D378" s="73" t="str">
        <f t="shared" ref="D378" si="636">CONCATENATE(E375,F375)</f>
        <v/>
      </c>
      <c r="E378" s="73" t="s">
        <v>73</v>
      </c>
      <c r="F378" s="73"/>
      <c r="G378" s="76"/>
      <c r="H378" s="104">
        <f t="shared" si="535"/>
        <v>0</v>
      </c>
      <c r="I378" s="3" t="str">
        <f t="shared" ref="I378" si="637">IF(B378,CONCATENATE(C378,D378," ",E378,F378,G378),"")</f>
        <v/>
      </c>
    </row>
    <row r="379" spans="2:9" hidden="1" x14ac:dyDescent="0.25">
      <c r="B379" s="102">
        <f>LOOKUP(B375,INICIO!A$10:A$109,INICIO!E$10:E$109)</f>
        <v>0</v>
      </c>
      <c r="C379" s="72" t="s">
        <v>111</v>
      </c>
      <c r="D379" s="73" t="str">
        <f t="shared" ref="D379" si="638">CONCATENATE(E375,F375)</f>
        <v/>
      </c>
      <c r="E379" s="73" t="s">
        <v>74</v>
      </c>
      <c r="F379" s="73"/>
      <c r="G379" s="76"/>
      <c r="H379" s="104">
        <f t="shared" si="535"/>
        <v>0</v>
      </c>
      <c r="I379" s="3" t="str">
        <f t="shared" ref="I379" si="639">IF(B378,CONCATENATE(C379,D379," ",E379,F379,G379),"")</f>
        <v/>
      </c>
    </row>
    <row r="380" spans="2:9" hidden="1" x14ac:dyDescent="0.25">
      <c r="B380" s="103"/>
      <c r="C380" s="74" t="s">
        <v>112</v>
      </c>
      <c r="D380" s="40"/>
      <c r="E380" s="40"/>
      <c r="F380" s="40"/>
      <c r="G380" s="77"/>
      <c r="H380" s="104">
        <f t="shared" si="535"/>
        <v>0</v>
      </c>
      <c r="I380" s="3" t="str">
        <f t="shared" ref="I380" si="640">IF(B378,CONCATENATE(C380,D380," ",E380,F380,G380),"")</f>
        <v/>
      </c>
    </row>
    <row r="381" spans="2:9" hidden="1" x14ac:dyDescent="0.25">
      <c r="H381" s="104">
        <f t="shared" si="535"/>
        <v>0</v>
      </c>
      <c r="I381" s="3" t="str">
        <f t="shared" ref="I381" si="641">IF(ISTEXT(B386),CONCATENATE("    // ",B386),"")</f>
        <v/>
      </c>
    </row>
    <row r="382" spans="2:9" hidden="1" x14ac:dyDescent="0.25">
      <c r="B382" s="101">
        <v>55</v>
      </c>
      <c r="C382" s="70" t="s">
        <v>107</v>
      </c>
      <c r="D382" s="71" t="str">
        <f t="shared" ref="D382" si="642">B384</f>
        <v/>
      </c>
      <c r="E382" s="71" t="str">
        <f t="shared" ref="E382" si="643">LOWER(E383)</f>
        <v/>
      </c>
      <c r="F382" s="71"/>
      <c r="G382" s="75" t="s">
        <v>72</v>
      </c>
      <c r="H382" s="104">
        <f t="shared" si="535"/>
        <v>0</v>
      </c>
      <c r="I382" s="3" t="str">
        <f t="shared" ref="I382" si="644">IF(B385,CONCATENATE(C382,D382," ",E382,F382,G382),"")</f>
        <v/>
      </c>
    </row>
    <row r="383" spans="2:9" hidden="1" x14ac:dyDescent="0.25">
      <c r="B383" s="102" t="str">
        <f>LOOKUP(B382,INICIO!A$10:A$109,INICIO!K$10:K$109)</f>
        <v/>
      </c>
      <c r="C383" s="72" t="s">
        <v>108</v>
      </c>
      <c r="D383" s="73" t="str">
        <f t="shared" ref="D383" si="645">B384</f>
        <v/>
      </c>
      <c r="E383" s="73" t="str">
        <f t="shared" ref="E383" si="646">B383</f>
        <v/>
      </c>
      <c r="F383" s="73"/>
      <c r="G383" s="76"/>
      <c r="H383" s="104">
        <f t="shared" si="535"/>
        <v>0</v>
      </c>
      <c r="I383" s="3" t="str">
        <f t="shared" ref="I383" si="647">IF(B385,CONCATENATE(C383,D383," ",E383,F383,G383),"")</f>
        <v/>
      </c>
    </row>
    <row r="384" spans="2:9" hidden="1" x14ac:dyDescent="0.25">
      <c r="B384" s="102" t="str">
        <f>LOOKUP(B382,INICIO!A$10:A$109,INICIO!L$10:L$109)</f>
        <v/>
      </c>
      <c r="C384" s="72" t="s">
        <v>109</v>
      </c>
      <c r="D384" s="73"/>
      <c r="E384" s="73"/>
      <c r="F384" s="73"/>
      <c r="G384" s="76"/>
      <c r="H384" s="104">
        <f t="shared" si="535"/>
        <v>0</v>
      </c>
      <c r="I384" s="3" t="str">
        <f t="shared" ref="I384" si="648">IF(B385,CONCATENATE(C384,D384," ",E384,F384,G384),"")</f>
        <v/>
      </c>
    </row>
    <row r="385" spans="2:9" hidden="1" x14ac:dyDescent="0.25">
      <c r="B385" s="102">
        <f>LOOKUP(B382,INICIO!A$10:A$109,INICIO!J$10:J$109)</f>
        <v>0</v>
      </c>
      <c r="C385" s="72" t="s">
        <v>110</v>
      </c>
      <c r="D385" s="73" t="str">
        <f t="shared" ref="D385" si="649">CONCATENATE(E382,F382)</f>
        <v/>
      </c>
      <c r="E385" s="73" t="s">
        <v>73</v>
      </c>
      <c r="F385" s="73"/>
      <c r="G385" s="76"/>
      <c r="H385" s="104">
        <f t="shared" si="535"/>
        <v>0</v>
      </c>
      <c r="I385" s="3" t="str">
        <f t="shared" ref="I385" si="650">IF(B385,CONCATENATE(C385,D385," ",E385,F385,G385),"")</f>
        <v/>
      </c>
    </row>
    <row r="386" spans="2:9" hidden="1" x14ac:dyDescent="0.25">
      <c r="B386" s="102">
        <f>LOOKUP(B382,INICIO!A$10:A$109,INICIO!E$10:E$109)</f>
        <v>0</v>
      </c>
      <c r="C386" s="72" t="s">
        <v>111</v>
      </c>
      <c r="D386" s="73" t="str">
        <f t="shared" ref="D386" si="651">CONCATENATE(E382,F382)</f>
        <v/>
      </c>
      <c r="E386" s="73" t="s">
        <v>74</v>
      </c>
      <c r="F386" s="73"/>
      <c r="G386" s="76"/>
      <c r="H386" s="104">
        <f t="shared" si="535"/>
        <v>0</v>
      </c>
      <c r="I386" s="3" t="str">
        <f t="shared" ref="I386" si="652">IF(B385,CONCATENATE(C386,D386," ",E386,F386,G386),"")</f>
        <v/>
      </c>
    </row>
    <row r="387" spans="2:9" hidden="1" x14ac:dyDescent="0.25">
      <c r="B387" s="103"/>
      <c r="C387" s="74" t="s">
        <v>112</v>
      </c>
      <c r="D387" s="40"/>
      <c r="E387" s="40"/>
      <c r="F387" s="40"/>
      <c r="G387" s="77"/>
      <c r="H387" s="104">
        <f t="shared" si="535"/>
        <v>0</v>
      </c>
      <c r="I387" s="3" t="str">
        <f t="shared" ref="I387" si="653">IF(B385,CONCATENATE(C387,D387," ",E387,F387,G387),"")</f>
        <v/>
      </c>
    </row>
    <row r="388" spans="2:9" hidden="1" x14ac:dyDescent="0.25">
      <c r="H388" s="104">
        <f t="shared" ref="H388:H451" si="654">IF(I388&lt;&gt;"",1,0)</f>
        <v>0</v>
      </c>
      <c r="I388" s="3" t="str">
        <f t="shared" ref="I388" si="655">IF(ISTEXT(B393),CONCATENATE("    // ",B393),"")</f>
        <v/>
      </c>
    </row>
    <row r="389" spans="2:9" hidden="1" x14ac:dyDescent="0.25">
      <c r="B389" s="101">
        <v>56</v>
      </c>
      <c r="C389" s="70" t="s">
        <v>107</v>
      </c>
      <c r="D389" s="71" t="str">
        <f t="shared" ref="D389" si="656">B391</f>
        <v/>
      </c>
      <c r="E389" s="71" t="str">
        <f t="shared" ref="E389" si="657">LOWER(E390)</f>
        <v/>
      </c>
      <c r="F389" s="71"/>
      <c r="G389" s="75" t="s">
        <v>72</v>
      </c>
      <c r="H389" s="104">
        <f t="shared" si="654"/>
        <v>0</v>
      </c>
      <c r="I389" s="3" t="str">
        <f t="shared" ref="I389" si="658">IF(B392,CONCATENATE(C389,D389," ",E389,F389,G389),"")</f>
        <v/>
      </c>
    </row>
    <row r="390" spans="2:9" hidden="1" x14ac:dyDescent="0.25">
      <c r="B390" s="102" t="str">
        <f>LOOKUP(B389,INICIO!A$10:A$109,INICIO!K$10:K$109)</f>
        <v/>
      </c>
      <c r="C390" s="72" t="s">
        <v>108</v>
      </c>
      <c r="D390" s="73" t="str">
        <f t="shared" ref="D390" si="659">B391</f>
        <v/>
      </c>
      <c r="E390" s="73" t="str">
        <f t="shared" ref="E390" si="660">B390</f>
        <v/>
      </c>
      <c r="F390" s="73"/>
      <c r="G390" s="76"/>
      <c r="H390" s="104">
        <f t="shared" si="654"/>
        <v>0</v>
      </c>
      <c r="I390" s="3" t="str">
        <f t="shared" ref="I390" si="661">IF(B392,CONCATENATE(C390,D390," ",E390,F390,G390),"")</f>
        <v/>
      </c>
    </row>
    <row r="391" spans="2:9" hidden="1" x14ac:dyDescent="0.25">
      <c r="B391" s="102" t="str">
        <f>LOOKUP(B389,INICIO!A$10:A$109,INICIO!L$10:L$109)</f>
        <v/>
      </c>
      <c r="C391" s="72" t="s">
        <v>109</v>
      </c>
      <c r="D391" s="73"/>
      <c r="E391" s="73"/>
      <c r="F391" s="73"/>
      <c r="G391" s="76"/>
      <c r="H391" s="104">
        <f t="shared" si="654"/>
        <v>0</v>
      </c>
      <c r="I391" s="3" t="str">
        <f t="shared" ref="I391" si="662">IF(B392,CONCATENATE(C391,D391," ",E391,F391,G391),"")</f>
        <v/>
      </c>
    </row>
    <row r="392" spans="2:9" hidden="1" x14ac:dyDescent="0.25">
      <c r="B392" s="102">
        <f>LOOKUP(B389,INICIO!A$10:A$109,INICIO!J$10:J$109)</f>
        <v>0</v>
      </c>
      <c r="C392" s="72" t="s">
        <v>110</v>
      </c>
      <c r="D392" s="73" t="str">
        <f t="shared" ref="D392" si="663">CONCATENATE(E389,F389)</f>
        <v/>
      </c>
      <c r="E392" s="73" t="s">
        <v>73</v>
      </c>
      <c r="F392" s="73"/>
      <c r="G392" s="76"/>
      <c r="H392" s="104">
        <f t="shared" si="654"/>
        <v>0</v>
      </c>
      <c r="I392" s="3" t="str">
        <f t="shared" ref="I392" si="664">IF(B392,CONCATENATE(C392,D392," ",E392,F392,G392),"")</f>
        <v/>
      </c>
    </row>
    <row r="393" spans="2:9" hidden="1" x14ac:dyDescent="0.25">
      <c r="B393" s="102">
        <f>LOOKUP(B389,INICIO!A$10:A$109,INICIO!E$10:E$109)</f>
        <v>0</v>
      </c>
      <c r="C393" s="72" t="s">
        <v>111</v>
      </c>
      <c r="D393" s="73" t="str">
        <f t="shared" ref="D393" si="665">CONCATENATE(E389,F389)</f>
        <v/>
      </c>
      <c r="E393" s="73" t="s">
        <v>74</v>
      </c>
      <c r="F393" s="73"/>
      <c r="G393" s="76"/>
      <c r="H393" s="104">
        <f t="shared" si="654"/>
        <v>0</v>
      </c>
      <c r="I393" s="3" t="str">
        <f t="shared" ref="I393" si="666">IF(B392,CONCATENATE(C393,D393," ",E393,F393,G393),"")</f>
        <v/>
      </c>
    </row>
    <row r="394" spans="2:9" hidden="1" x14ac:dyDescent="0.25">
      <c r="B394" s="103"/>
      <c r="C394" s="74" t="s">
        <v>112</v>
      </c>
      <c r="D394" s="40"/>
      <c r="E394" s="40"/>
      <c r="F394" s="40"/>
      <c r="G394" s="77"/>
      <c r="H394" s="104">
        <f t="shared" si="654"/>
        <v>0</v>
      </c>
      <c r="I394" s="3" t="str">
        <f t="shared" ref="I394" si="667">IF(B392,CONCATENATE(C394,D394," ",E394,F394,G394),"")</f>
        <v/>
      </c>
    </row>
    <row r="395" spans="2:9" hidden="1" x14ac:dyDescent="0.25">
      <c r="H395" s="104">
        <f t="shared" si="654"/>
        <v>0</v>
      </c>
      <c r="I395" s="3" t="str">
        <f t="shared" ref="I395" si="668">IF(ISTEXT(B400),CONCATENATE("    // ",B400),"")</f>
        <v/>
      </c>
    </row>
    <row r="396" spans="2:9" hidden="1" x14ac:dyDescent="0.25">
      <c r="B396" s="101">
        <v>57</v>
      </c>
      <c r="C396" s="70" t="s">
        <v>107</v>
      </c>
      <c r="D396" s="71" t="str">
        <f t="shared" ref="D396" si="669">B398</f>
        <v/>
      </c>
      <c r="E396" s="71" t="str">
        <f t="shared" ref="E396" si="670">LOWER(E397)</f>
        <v/>
      </c>
      <c r="F396" s="71"/>
      <c r="G396" s="75" t="s">
        <v>72</v>
      </c>
      <c r="H396" s="104">
        <f t="shared" si="654"/>
        <v>0</v>
      </c>
      <c r="I396" s="3" t="str">
        <f t="shared" ref="I396" si="671">IF(B399,CONCATENATE(C396,D396," ",E396,F396,G396),"")</f>
        <v/>
      </c>
    </row>
    <row r="397" spans="2:9" hidden="1" x14ac:dyDescent="0.25">
      <c r="B397" s="102" t="str">
        <f>LOOKUP(B396,INICIO!A$10:A$109,INICIO!K$10:K$109)</f>
        <v/>
      </c>
      <c r="C397" s="72" t="s">
        <v>108</v>
      </c>
      <c r="D397" s="73" t="str">
        <f t="shared" ref="D397" si="672">B398</f>
        <v/>
      </c>
      <c r="E397" s="73" t="str">
        <f t="shared" ref="E397" si="673">B397</f>
        <v/>
      </c>
      <c r="F397" s="73"/>
      <c r="G397" s="76"/>
      <c r="H397" s="104">
        <f t="shared" si="654"/>
        <v>0</v>
      </c>
      <c r="I397" s="3" t="str">
        <f t="shared" ref="I397" si="674">IF(B399,CONCATENATE(C397,D397," ",E397,F397,G397),"")</f>
        <v/>
      </c>
    </row>
    <row r="398" spans="2:9" hidden="1" x14ac:dyDescent="0.25">
      <c r="B398" s="102" t="str">
        <f>LOOKUP(B396,INICIO!A$10:A$109,INICIO!L$10:L$109)</f>
        <v/>
      </c>
      <c r="C398" s="72" t="s">
        <v>109</v>
      </c>
      <c r="D398" s="73"/>
      <c r="E398" s="73"/>
      <c r="F398" s="73"/>
      <c r="G398" s="76"/>
      <c r="H398" s="104">
        <f t="shared" si="654"/>
        <v>0</v>
      </c>
      <c r="I398" s="3" t="str">
        <f t="shared" ref="I398" si="675">IF(B399,CONCATENATE(C398,D398," ",E398,F398,G398),"")</f>
        <v/>
      </c>
    </row>
    <row r="399" spans="2:9" hidden="1" x14ac:dyDescent="0.25">
      <c r="B399" s="102">
        <f>LOOKUP(B396,INICIO!A$10:A$109,INICIO!J$10:J$109)</f>
        <v>0</v>
      </c>
      <c r="C399" s="72" t="s">
        <v>110</v>
      </c>
      <c r="D399" s="73" t="str">
        <f t="shared" ref="D399" si="676">CONCATENATE(E396,F396)</f>
        <v/>
      </c>
      <c r="E399" s="73" t="s">
        <v>73</v>
      </c>
      <c r="F399" s="73"/>
      <c r="G399" s="76"/>
      <c r="H399" s="104">
        <f t="shared" si="654"/>
        <v>0</v>
      </c>
      <c r="I399" s="3" t="str">
        <f t="shared" ref="I399" si="677">IF(B399,CONCATENATE(C399,D399," ",E399,F399,G399),"")</f>
        <v/>
      </c>
    </row>
    <row r="400" spans="2:9" hidden="1" x14ac:dyDescent="0.25">
      <c r="B400" s="102">
        <f>LOOKUP(B396,INICIO!A$10:A$109,INICIO!E$10:E$109)</f>
        <v>0</v>
      </c>
      <c r="C400" s="72" t="s">
        <v>111</v>
      </c>
      <c r="D400" s="73" t="str">
        <f t="shared" ref="D400" si="678">CONCATENATE(E396,F396)</f>
        <v/>
      </c>
      <c r="E400" s="73" t="s">
        <v>74</v>
      </c>
      <c r="F400" s="73"/>
      <c r="G400" s="76"/>
      <c r="H400" s="104">
        <f t="shared" si="654"/>
        <v>0</v>
      </c>
      <c r="I400" s="3" t="str">
        <f t="shared" ref="I400" si="679">IF(B399,CONCATENATE(C400,D400," ",E400,F400,G400),"")</f>
        <v/>
      </c>
    </row>
    <row r="401" spans="2:9" hidden="1" x14ac:dyDescent="0.25">
      <c r="B401" s="103"/>
      <c r="C401" s="74" t="s">
        <v>112</v>
      </c>
      <c r="D401" s="40"/>
      <c r="E401" s="40"/>
      <c r="F401" s="40"/>
      <c r="G401" s="77"/>
      <c r="H401" s="104">
        <f t="shared" si="654"/>
        <v>0</v>
      </c>
      <c r="I401" s="3" t="str">
        <f t="shared" ref="I401" si="680">IF(B399,CONCATENATE(C401,D401," ",E401,F401,G401),"")</f>
        <v/>
      </c>
    </row>
    <row r="402" spans="2:9" hidden="1" x14ac:dyDescent="0.25">
      <c r="H402" s="104">
        <f t="shared" si="654"/>
        <v>0</v>
      </c>
      <c r="I402" s="3" t="str">
        <f t="shared" ref="I402" si="681">IF(ISTEXT(B407),CONCATENATE("    // ",B407),"")</f>
        <v/>
      </c>
    </row>
    <row r="403" spans="2:9" hidden="1" x14ac:dyDescent="0.25">
      <c r="B403" s="101">
        <v>58</v>
      </c>
      <c r="C403" s="70" t="s">
        <v>107</v>
      </c>
      <c r="D403" s="71" t="str">
        <f t="shared" ref="D403" si="682">B405</f>
        <v/>
      </c>
      <c r="E403" s="71" t="str">
        <f t="shared" ref="E403" si="683">LOWER(E404)</f>
        <v/>
      </c>
      <c r="F403" s="71"/>
      <c r="G403" s="75" t="s">
        <v>72</v>
      </c>
      <c r="H403" s="104">
        <f t="shared" si="654"/>
        <v>0</v>
      </c>
      <c r="I403" s="3" t="str">
        <f t="shared" ref="I403" si="684">IF(B406,CONCATENATE(C403,D403," ",E403,F403,G403),"")</f>
        <v/>
      </c>
    </row>
    <row r="404" spans="2:9" hidden="1" x14ac:dyDescent="0.25">
      <c r="B404" s="102" t="str">
        <f>LOOKUP(B403,INICIO!A$10:A$109,INICIO!K$10:K$109)</f>
        <v/>
      </c>
      <c r="C404" s="72" t="s">
        <v>108</v>
      </c>
      <c r="D404" s="73" t="str">
        <f t="shared" ref="D404" si="685">B405</f>
        <v/>
      </c>
      <c r="E404" s="73" t="str">
        <f t="shared" ref="E404" si="686">B404</f>
        <v/>
      </c>
      <c r="F404" s="73"/>
      <c r="G404" s="76"/>
      <c r="H404" s="104">
        <f t="shared" si="654"/>
        <v>0</v>
      </c>
      <c r="I404" s="3" t="str">
        <f t="shared" ref="I404" si="687">IF(B406,CONCATENATE(C404,D404," ",E404,F404,G404),"")</f>
        <v/>
      </c>
    </row>
    <row r="405" spans="2:9" hidden="1" x14ac:dyDescent="0.25">
      <c r="B405" s="102" t="str">
        <f>LOOKUP(B403,INICIO!A$10:A$109,INICIO!L$10:L$109)</f>
        <v/>
      </c>
      <c r="C405" s="72" t="s">
        <v>109</v>
      </c>
      <c r="D405" s="73"/>
      <c r="E405" s="73"/>
      <c r="F405" s="73"/>
      <c r="G405" s="76"/>
      <c r="H405" s="104">
        <f t="shared" si="654"/>
        <v>0</v>
      </c>
      <c r="I405" s="3" t="str">
        <f t="shared" ref="I405" si="688">IF(B406,CONCATENATE(C405,D405," ",E405,F405,G405),"")</f>
        <v/>
      </c>
    </row>
    <row r="406" spans="2:9" hidden="1" x14ac:dyDescent="0.25">
      <c r="B406" s="102">
        <f>LOOKUP(B403,INICIO!A$10:A$109,INICIO!J$10:J$109)</f>
        <v>0</v>
      </c>
      <c r="C406" s="72" t="s">
        <v>110</v>
      </c>
      <c r="D406" s="73" t="str">
        <f t="shared" ref="D406" si="689">CONCATENATE(E403,F403)</f>
        <v/>
      </c>
      <c r="E406" s="73" t="s">
        <v>73</v>
      </c>
      <c r="F406" s="73"/>
      <c r="G406" s="76"/>
      <c r="H406" s="104">
        <f t="shared" si="654"/>
        <v>0</v>
      </c>
      <c r="I406" s="3" t="str">
        <f t="shared" ref="I406" si="690">IF(B406,CONCATENATE(C406,D406," ",E406,F406,G406),"")</f>
        <v/>
      </c>
    </row>
    <row r="407" spans="2:9" hidden="1" x14ac:dyDescent="0.25">
      <c r="B407" s="102">
        <f>LOOKUP(B403,INICIO!A$10:A$109,INICIO!E$10:E$109)</f>
        <v>0</v>
      </c>
      <c r="C407" s="72" t="s">
        <v>111</v>
      </c>
      <c r="D407" s="73" t="str">
        <f t="shared" ref="D407" si="691">CONCATENATE(E403,F403)</f>
        <v/>
      </c>
      <c r="E407" s="73" t="s">
        <v>74</v>
      </c>
      <c r="F407" s="73"/>
      <c r="G407" s="76"/>
      <c r="H407" s="104">
        <f t="shared" si="654"/>
        <v>0</v>
      </c>
      <c r="I407" s="3" t="str">
        <f t="shared" ref="I407" si="692">IF(B406,CONCATENATE(C407,D407," ",E407,F407,G407),"")</f>
        <v/>
      </c>
    </row>
    <row r="408" spans="2:9" hidden="1" x14ac:dyDescent="0.25">
      <c r="B408" s="103"/>
      <c r="C408" s="74" t="s">
        <v>112</v>
      </c>
      <c r="D408" s="40"/>
      <c r="E408" s="40"/>
      <c r="F408" s="40"/>
      <c r="G408" s="77"/>
      <c r="H408" s="104">
        <f t="shared" si="654"/>
        <v>0</v>
      </c>
      <c r="I408" s="3" t="str">
        <f t="shared" ref="I408" si="693">IF(B406,CONCATENATE(C408,D408," ",E408,F408,G408),"")</f>
        <v/>
      </c>
    </row>
    <row r="409" spans="2:9" hidden="1" x14ac:dyDescent="0.25">
      <c r="H409" s="104">
        <f t="shared" si="654"/>
        <v>0</v>
      </c>
      <c r="I409" s="3" t="str">
        <f t="shared" ref="I409" si="694">IF(ISTEXT(B414),CONCATENATE("    // ",B414),"")</f>
        <v/>
      </c>
    </row>
    <row r="410" spans="2:9" hidden="1" x14ac:dyDescent="0.25">
      <c r="B410" s="101">
        <v>59</v>
      </c>
      <c r="C410" s="70" t="s">
        <v>107</v>
      </c>
      <c r="D410" s="71" t="str">
        <f t="shared" ref="D410" si="695">B412</f>
        <v/>
      </c>
      <c r="E410" s="71" t="str">
        <f t="shared" ref="E410" si="696">LOWER(E411)</f>
        <v/>
      </c>
      <c r="F410" s="71"/>
      <c r="G410" s="75" t="s">
        <v>72</v>
      </c>
      <c r="H410" s="104">
        <f t="shared" si="654"/>
        <v>0</v>
      </c>
      <c r="I410" s="3" t="str">
        <f t="shared" ref="I410" si="697">IF(B413,CONCATENATE(C410,D410," ",E410,F410,G410),"")</f>
        <v/>
      </c>
    </row>
    <row r="411" spans="2:9" hidden="1" x14ac:dyDescent="0.25">
      <c r="B411" s="102" t="str">
        <f>LOOKUP(B410,INICIO!A$10:A$109,INICIO!K$10:K$109)</f>
        <v/>
      </c>
      <c r="C411" s="72" t="s">
        <v>108</v>
      </c>
      <c r="D411" s="73" t="str">
        <f t="shared" ref="D411" si="698">B412</f>
        <v/>
      </c>
      <c r="E411" s="73" t="str">
        <f t="shared" ref="E411" si="699">B411</f>
        <v/>
      </c>
      <c r="F411" s="73"/>
      <c r="G411" s="76"/>
      <c r="H411" s="104">
        <f t="shared" si="654"/>
        <v>0</v>
      </c>
      <c r="I411" s="3" t="str">
        <f t="shared" ref="I411" si="700">IF(B413,CONCATENATE(C411,D411," ",E411,F411,G411),"")</f>
        <v/>
      </c>
    </row>
    <row r="412" spans="2:9" hidden="1" x14ac:dyDescent="0.25">
      <c r="B412" s="102" t="str">
        <f>LOOKUP(B410,INICIO!A$10:A$109,INICIO!L$10:L$109)</f>
        <v/>
      </c>
      <c r="C412" s="72" t="s">
        <v>109</v>
      </c>
      <c r="D412" s="73"/>
      <c r="E412" s="73"/>
      <c r="F412" s="73"/>
      <c r="G412" s="76"/>
      <c r="H412" s="104">
        <f t="shared" si="654"/>
        <v>0</v>
      </c>
      <c r="I412" s="3" t="str">
        <f t="shared" ref="I412" si="701">IF(B413,CONCATENATE(C412,D412," ",E412,F412,G412),"")</f>
        <v/>
      </c>
    </row>
    <row r="413" spans="2:9" hidden="1" x14ac:dyDescent="0.25">
      <c r="B413" s="102">
        <f>LOOKUP(B410,INICIO!A$10:A$109,INICIO!J$10:J$109)</f>
        <v>0</v>
      </c>
      <c r="C413" s="72" t="s">
        <v>110</v>
      </c>
      <c r="D413" s="73" t="str">
        <f t="shared" ref="D413" si="702">CONCATENATE(E410,F410)</f>
        <v/>
      </c>
      <c r="E413" s="73" t="s">
        <v>73</v>
      </c>
      <c r="F413" s="73"/>
      <c r="G413" s="76"/>
      <c r="H413" s="104">
        <f t="shared" si="654"/>
        <v>0</v>
      </c>
      <c r="I413" s="3" t="str">
        <f t="shared" ref="I413" si="703">IF(B413,CONCATENATE(C413,D413," ",E413,F413,G413),"")</f>
        <v/>
      </c>
    </row>
    <row r="414" spans="2:9" hidden="1" x14ac:dyDescent="0.25">
      <c r="B414" s="102">
        <f>LOOKUP(B410,INICIO!A$10:A$109,INICIO!E$10:E$109)</f>
        <v>0</v>
      </c>
      <c r="C414" s="72" t="s">
        <v>111</v>
      </c>
      <c r="D414" s="73" t="str">
        <f t="shared" ref="D414" si="704">CONCATENATE(E410,F410)</f>
        <v/>
      </c>
      <c r="E414" s="73" t="s">
        <v>74</v>
      </c>
      <c r="F414" s="73"/>
      <c r="G414" s="76"/>
      <c r="H414" s="104">
        <f t="shared" si="654"/>
        <v>0</v>
      </c>
      <c r="I414" s="3" t="str">
        <f t="shared" ref="I414" si="705">IF(B413,CONCATENATE(C414,D414," ",E414,F414,G414),"")</f>
        <v/>
      </c>
    </row>
    <row r="415" spans="2:9" hidden="1" x14ac:dyDescent="0.25">
      <c r="B415" s="103"/>
      <c r="C415" s="74" t="s">
        <v>112</v>
      </c>
      <c r="D415" s="40"/>
      <c r="E415" s="40"/>
      <c r="F415" s="40"/>
      <c r="G415" s="77"/>
      <c r="H415" s="104">
        <f t="shared" si="654"/>
        <v>0</v>
      </c>
      <c r="I415" s="3" t="str">
        <f t="shared" ref="I415" si="706">IF(B413,CONCATENATE(C415,D415," ",E415,F415,G415),"")</f>
        <v/>
      </c>
    </row>
    <row r="416" spans="2:9" hidden="1" x14ac:dyDescent="0.25">
      <c r="H416" s="104">
        <f t="shared" si="654"/>
        <v>0</v>
      </c>
      <c r="I416" s="3" t="str">
        <f t="shared" ref="I416" si="707">IF(ISTEXT(B421),CONCATENATE("    // ",B421),"")</f>
        <v/>
      </c>
    </row>
    <row r="417" spans="2:9" hidden="1" x14ac:dyDescent="0.25">
      <c r="B417" s="101">
        <v>60</v>
      </c>
      <c r="C417" s="70" t="s">
        <v>107</v>
      </c>
      <c r="D417" s="71" t="str">
        <f t="shared" ref="D417" si="708">B419</f>
        <v/>
      </c>
      <c r="E417" s="71" t="str">
        <f t="shared" ref="E417" si="709">LOWER(E418)</f>
        <v/>
      </c>
      <c r="F417" s="71"/>
      <c r="G417" s="75" t="s">
        <v>72</v>
      </c>
      <c r="H417" s="104">
        <f t="shared" si="654"/>
        <v>0</v>
      </c>
      <c r="I417" s="3" t="str">
        <f t="shared" ref="I417" si="710">IF(B420,CONCATENATE(C417,D417," ",E417,F417,G417),"")</f>
        <v/>
      </c>
    </row>
    <row r="418" spans="2:9" hidden="1" x14ac:dyDescent="0.25">
      <c r="B418" s="102" t="str">
        <f>LOOKUP(B417,INICIO!A$10:A$109,INICIO!K$10:K$109)</f>
        <v/>
      </c>
      <c r="C418" s="72" t="s">
        <v>108</v>
      </c>
      <c r="D418" s="73" t="str">
        <f t="shared" ref="D418" si="711">B419</f>
        <v/>
      </c>
      <c r="E418" s="73" t="str">
        <f t="shared" ref="E418" si="712">B418</f>
        <v/>
      </c>
      <c r="F418" s="73"/>
      <c r="G418" s="76"/>
      <c r="H418" s="104">
        <f t="shared" si="654"/>
        <v>0</v>
      </c>
      <c r="I418" s="3" t="str">
        <f t="shared" ref="I418" si="713">IF(B420,CONCATENATE(C418,D418," ",E418,F418,G418),"")</f>
        <v/>
      </c>
    </row>
    <row r="419" spans="2:9" hidden="1" x14ac:dyDescent="0.25">
      <c r="B419" s="102" t="str">
        <f>LOOKUP(B417,INICIO!A$10:A$109,INICIO!L$10:L$109)</f>
        <v/>
      </c>
      <c r="C419" s="72" t="s">
        <v>109</v>
      </c>
      <c r="D419" s="73"/>
      <c r="E419" s="73"/>
      <c r="F419" s="73"/>
      <c r="G419" s="76"/>
      <c r="H419" s="104">
        <f t="shared" si="654"/>
        <v>0</v>
      </c>
      <c r="I419" s="3" t="str">
        <f t="shared" ref="I419" si="714">IF(B420,CONCATENATE(C419,D419," ",E419,F419,G419),"")</f>
        <v/>
      </c>
    </row>
    <row r="420" spans="2:9" hidden="1" x14ac:dyDescent="0.25">
      <c r="B420" s="102">
        <f>LOOKUP(B417,INICIO!A$10:A$109,INICIO!J$10:J$109)</f>
        <v>0</v>
      </c>
      <c r="C420" s="72" t="s">
        <v>110</v>
      </c>
      <c r="D420" s="73" t="str">
        <f t="shared" ref="D420" si="715">CONCATENATE(E417,F417)</f>
        <v/>
      </c>
      <c r="E420" s="73" t="s">
        <v>73</v>
      </c>
      <c r="F420" s="73"/>
      <c r="G420" s="76"/>
      <c r="H420" s="104">
        <f t="shared" si="654"/>
        <v>0</v>
      </c>
      <c r="I420" s="3" t="str">
        <f t="shared" ref="I420" si="716">IF(B420,CONCATENATE(C420,D420," ",E420,F420,G420),"")</f>
        <v/>
      </c>
    </row>
    <row r="421" spans="2:9" hidden="1" x14ac:dyDescent="0.25">
      <c r="B421" s="102">
        <f>LOOKUP(B417,INICIO!A$10:A$109,INICIO!E$10:E$109)</f>
        <v>0</v>
      </c>
      <c r="C421" s="72" t="s">
        <v>111</v>
      </c>
      <c r="D421" s="73" t="str">
        <f t="shared" ref="D421" si="717">CONCATENATE(E417,F417)</f>
        <v/>
      </c>
      <c r="E421" s="73" t="s">
        <v>74</v>
      </c>
      <c r="F421" s="73"/>
      <c r="G421" s="76"/>
      <c r="H421" s="104">
        <f t="shared" si="654"/>
        <v>0</v>
      </c>
      <c r="I421" s="3" t="str">
        <f t="shared" ref="I421" si="718">IF(B420,CONCATENATE(C421,D421," ",E421,F421,G421),"")</f>
        <v/>
      </c>
    </row>
    <row r="422" spans="2:9" hidden="1" x14ac:dyDescent="0.25">
      <c r="B422" s="103"/>
      <c r="C422" s="74" t="s">
        <v>112</v>
      </c>
      <c r="D422" s="40"/>
      <c r="E422" s="40"/>
      <c r="F422" s="40"/>
      <c r="G422" s="77"/>
      <c r="H422" s="104">
        <f t="shared" si="654"/>
        <v>0</v>
      </c>
      <c r="I422" s="3" t="str">
        <f t="shared" ref="I422" si="719">IF(B420,CONCATENATE(C422,D422," ",E422,F422,G422),"")</f>
        <v/>
      </c>
    </row>
    <row r="423" spans="2:9" hidden="1" x14ac:dyDescent="0.25">
      <c r="H423" s="104">
        <f t="shared" si="654"/>
        <v>0</v>
      </c>
      <c r="I423" s="3" t="str">
        <f t="shared" ref="I423" si="720">IF(ISTEXT(B428),CONCATENATE("    // ",B428),"")</f>
        <v/>
      </c>
    </row>
    <row r="424" spans="2:9" hidden="1" x14ac:dyDescent="0.25">
      <c r="B424" s="101">
        <v>61</v>
      </c>
      <c r="C424" s="70" t="s">
        <v>107</v>
      </c>
      <c r="D424" s="71" t="str">
        <f t="shared" ref="D424" si="721">B426</f>
        <v/>
      </c>
      <c r="E424" s="71" t="str">
        <f t="shared" ref="E424" si="722">LOWER(E425)</f>
        <v/>
      </c>
      <c r="F424" s="71"/>
      <c r="G424" s="75" t="s">
        <v>72</v>
      </c>
      <c r="H424" s="104">
        <f t="shared" si="654"/>
        <v>0</v>
      </c>
      <c r="I424" s="3" t="str">
        <f t="shared" ref="I424" si="723">IF(B427,CONCATENATE(C424,D424," ",E424,F424,G424),"")</f>
        <v/>
      </c>
    </row>
    <row r="425" spans="2:9" hidden="1" x14ac:dyDescent="0.25">
      <c r="B425" s="102" t="str">
        <f>LOOKUP(B424,INICIO!A$10:A$109,INICIO!K$10:K$109)</f>
        <v/>
      </c>
      <c r="C425" s="72" t="s">
        <v>108</v>
      </c>
      <c r="D425" s="73" t="str">
        <f t="shared" ref="D425" si="724">B426</f>
        <v/>
      </c>
      <c r="E425" s="73" t="str">
        <f t="shared" ref="E425" si="725">B425</f>
        <v/>
      </c>
      <c r="F425" s="73"/>
      <c r="G425" s="76"/>
      <c r="H425" s="104">
        <f t="shared" si="654"/>
        <v>0</v>
      </c>
      <c r="I425" s="3" t="str">
        <f t="shared" ref="I425" si="726">IF(B427,CONCATENATE(C425,D425," ",E425,F425,G425),"")</f>
        <v/>
      </c>
    </row>
    <row r="426" spans="2:9" hidden="1" x14ac:dyDescent="0.25">
      <c r="B426" s="102" t="str">
        <f>LOOKUP(B424,INICIO!A$10:A$109,INICIO!L$10:L$109)</f>
        <v/>
      </c>
      <c r="C426" s="72" t="s">
        <v>109</v>
      </c>
      <c r="D426" s="73"/>
      <c r="E426" s="73"/>
      <c r="F426" s="73"/>
      <c r="G426" s="76"/>
      <c r="H426" s="104">
        <f t="shared" si="654"/>
        <v>0</v>
      </c>
      <c r="I426" s="3" t="str">
        <f t="shared" ref="I426" si="727">IF(B427,CONCATENATE(C426,D426," ",E426,F426,G426),"")</f>
        <v/>
      </c>
    </row>
    <row r="427" spans="2:9" hidden="1" x14ac:dyDescent="0.25">
      <c r="B427" s="102">
        <f>LOOKUP(B424,INICIO!A$10:A$109,INICIO!J$10:J$109)</f>
        <v>0</v>
      </c>
      <c r="C427" s="72" t="s">
        <v>110</v>
      </c>
      <c r="D427" s="73" t="str">
        <f t="shared" ref="D427" si="728">CONCATENATE(E424,F424)</f>
        <v/>
      </c>
      <c r="E427" s="73" t="s">
        <v>73</v>
      </c>
      <c r="F427" s="73"/>
      <c r="G427" s="76"/>
      <c r="H427" s="104">
        <f t="shared" si="654"/>
        <v>0</v>
      </c>
      <c r="I427" s="3" t="str">
        <f t="shared" ref="I427" si="729">IF(B427,CONCATENATE(C427,D427," ",E427,F427,G427),"")</f>
        <v/>
      </c>
    </row>
    <row r="428" spans="2:9" hidden="1" x14ac:dyDescent="0.25">
      <c r="B428" s="102">
        <f>LOOKUP(B424,INICIO!A$10:A$109,INICIO!E$10:E$109)</f>
        <v>0</v>
      </c>
      <c r="C428" s="72" t="s">
        <v>111</v>
      </c>
      <c r="D428" s="73" t="str">
        <f t="shared" ref="D428" si="730">CONCATENATE(E424,F424)</f>
        <v/>
      </c>
      <c r="E428" s="73" t="s">
        <v>74</v>
      </c>
      <c r="F428" s="73"/>
      <c r="G428" s="76"/>
      <c r="H428" s="104">
        <f t="shared" si="654"/>
        <v>0</v>
      </c>
      <c r="I428" s="3" t="str">
        <f t="shared" ref="I428" si="731">IF(B427,CONCATENATE(C428,D428," ",E428,F428,G428),"")</f>
        <v/>
      </c>
    </row>
    <row r="429" spans="2:9" hidden="1" x14ac:dyDescent="0.25">
      <c r="B429" s="103"/>
      <c r="C429" s="74" t="s">
        <v>112</v>
      </c>
      <c r="D429" s="40"/>
      <c r="E429" s="40"/>
      <c r="F429" s="40"/>
      <c r="G429" s="77"/>
      <c r="H429" s="104">
        <f t="shared" si="654"/>
        <v>0</v>
      </c>
      <c r="I429" s="3" t="str">
        <f t="shared" ref="I429" si="732">IF(B427,CONCATENATE(C429,D429," ",E429,F429,G429),"")</f>
        <v/>
      </c>
    </row>
    <row r="430" spans="2:9" hidden="1" x14ac:dyDescent="0.25">
      <c r="H430" s="104">
        <f t="shared" si="654"/>
        <v>0</v>
      </c>
      <c r="I430" s="3" t="str">
        <f t="shared" ref="I430" si="733">IF(ISTEXT(B435),CONCATENATE("    // ",B435),"")</f>
        <v/>
      </c>
    </row>
    <row r="431" spans="2:9" hidden="1" x14ac:dyDescent="0.25">
      <c r="B431" s="101">
        <v>62</v>
      </c>
      <c r="C431" s="70" t="s">
        <v>107</v>
      </c>
      <c r="D431" s="71" t="str">
        <f t="shared" ref="D431" si="734">B433</f>
        <v/>
      </c>
      <c r="E431" s="71" t="str">
        <f t="shared" ref="E431" si="735">LOWER(E432)</f>
        <v/>
      </c>
      <c r="F431" s="71"/>
      <c r="G431" s="75" t="s">
        <v>72</v>
      </c>
      <c r="H431" s="104">
        <f t="shared" si="654"/>
        <v>0</v>
      </c>
      <c r="I431" s="3" t="str">
        <f t="shared" ref="I431" si="736">IF(B434,CONCATENATE(C431,D431," ",E431,F431,G431),"")</f>
        <v/>
      </c>
    </row>
    <row r="432" spans="2:9" hidden="1" x14ac:dyDescent="0.25">
      <c r="B432" s="102" t="str">
        <f>LOOKUP(B431,INICIO!A$10:A$109,INICIO!K$10:K$109)</f>
        <v/>
      </c>
      <c r="C432" s="72" t="s">
        <v>108</v>
      </c>
      <c r="D432" s="73" t="str">
        <f t="shared" ref="D432" si="737">B433</f>
        <v/>
      </c>
      <c r="E432" s="73" t="str">
        <f t="shared" ref="E432" si="738">B432</f>
        <v/>
      </c>
      <c r="F432" s="73"/>
      <c r="G432" s="76"/>
      <c r="H432" s="104">
        <f t="shared" si="654"/>
        <v>0</v>
      </c>
      <c r="I432" s="3" t="str">
        <f t="shared" ref="I432" si="739">IF(B434,CONCATENATE(C432,D432," ",E432,F432,G432),"")</f>
        <v/>
      </c>
    </row>
    <row r="433" spans="2:9" hidden="1" x14ac:dyDescent="0.25">
      <c r="B433" s="102" t="str">
        <f>LOOKUP(B431,INICIO!A$10:A$109,INICIO!L$10:L$109)</f>
        <v/>
      </c>
      <c r="C433" s="72" t="s">
        <v>109</v>
      </c>
      <c r="D433" s="73"/>
      <c r="E433" s="73"/>
      <c r="F433" s="73"/>
      <c r="G433" s="76"/>
      <c r="H433" s="104">
        <f t="shared" si="654"/>
        <v>0</v>
      </c>
      <c r="I433" s="3" t="str">
        <f t="shared" ref="I433" si="740">IF(B434,CONCATENATE(C433,D433," ",E433,F433,G433),"")</f>
        <v/>
      </c>
    </row>
    <row r="434" spans="2:9" hidden="1" x14ac:dyDescent="0.25">
      <c r="B434" s="102">
        <f>LOOKUP(B431,INICIO!A$10:A$109,INICIO!J$10:J$109)</f>
        <v>0</v>
      </c>
      <c r="C434" s="72" t="s">
        <v>110</v>
      </c>
      <c r="D434" s="73" t="str">
        <f t="shared" ref="D434" si="741">CONCATENATE(E431,F431)</f>
        <v/>
      </c>
      <c r="E434" s="73" t="s">
        <v>73</v>
      </c>
      <c r="F434" s="73"/>
      <c r="G434" s="76"/>
      <c r="H434" s="104">
        <f t="shared" si="654"/>
        <v>0</v>
      </c>
      <c r="I434" s="3" t="str">
        <f t="shared" ref="I434" si="742">IF(B434,CONCATENATE(C434,D434," ",E434,F434,G434),"")</f>
        <v/>
      </c>
    </row>
    <row r="435" spans="2:9" hidden="1" x14ac:dyDescent="0.25">
      <c r="B435" s="102">
        <f>LOOKUP(B431,INICIO!A$10:A$109,INICIO!E$10:E$109)</f>
        <v>0</v>
      </c>
      <c r="C435" s="72" t="s">
        <v>111</v>
      </c>
      <c r="D435" s="73" t="str">
        <f t="shared" ref="D435" si="743">CONCATENATE(E431,F431)</f>
        <v/>
      </c>
      <c r="E435" s="73" t="s">
        <v>74</v>
      </c>
      <c r="F435" s="73"/>
      <c r="G435" s="76"/>
      <c r="H435" s="104">
        <f t="shared" si="654"/>
        <v>0</v>
      </c>
      <c r="I435" s="3" t="str">
        <f t="shared" ref="I435" si="744">IF(B434,CONCATENATE(C435,D435," ",E435,F435,G435),"")</f>
        <v/>
      </c>
    </row>
    <row r="436" spans="2:9" hidden="1" x14ac:dyDescent="0.25">
      <c r="B436" s="103"/>
      <c r="C436" s="74" t="s">
        <v>112</v>
      </c>
      <c r="D436" s="40"/>
      <c r="E436" s="40"/>
      <c r="F436" s="40"/>
      <c r="G436" s="77"/>
      <c r="H436" s="104">
        <f t="shared" si="654"/>
        <v>0</v>
      </c>
      <c r="I436" s="3" t="str">
        <f t="shared" ref="I436" si="745">IF(B434,CONCATENATE(C436,D436," ",E436,F436,G436),"")</f>
        <v/>
      </c>
    </row>
    <row r="437" spans="2:9" hidden="1" x14ac:dyDescent="0.25">
      <c r="H437" s="104">
        <f t="shared" si="654"/>
        <v>0</v>
      </c>
      <c r="I437" s="3" t="str">
        <f t="shared" ref="I437" si="746">IF(ISTEXT(B442),CONCATENATE("    // ",B442),"")</f>
        <v/>
      </c>
    </row>
    <row r="438" spans="2:9" hidden="1" x14ac:dyDescent="0.25">
      <c r="B438" s="101">
        <v>63</v>
      </c>
      <c r="C438" s="70" t="s">
        <v>107</v>
      </c>
      <c r="D438" s="71" t="str">
        <f t="shared" ref="D438" si="747">B440</f>
        <v/>
      </c>
      <c r="E438" s="71" t="str">
        <f t="shared" ref="E438" si="748">LOWER(E439)</f>
        <v/>
      </c>
      <c r="F438" s="71"/>
      <c r="G438" s="75" t="s">
        <v>72</v>
      </c>
      <c r="H438" s="104">
        <f t="shared" si="654"/>
        <v>0</v>
      </c>
      <c r="I438" s="3" t="str">
        <f t="shared" ref="I438" si="749">IF(B441,CONCATENATE(C438,D438," ",E438,F438,G438),"")</f>
        <v/>
      </c>
    </row>
    <row r="439" spans="2:9" hidden="1" x14ac:dyDescent="0.25">
      <c r="B439" s="102" t="str">
        <f>LOOKUP(B438,INICIO!A$10:A$109,INICIO!K$10:K$109)</f>
        <v/>
      </c>
      <c r="C439" s="72" t="s">
        <v>108</v>
      </c>
      <c r="D439" s="73" t="str">
        <f t="shared" ref="D439" si="750">B440</f>
        <v/>
      </c>
      <c r="E439" s="73" t="str">
        <f t="shared" ref="E439" si="751">B439</f>
        <v/>
      </c>
      <c r="F439" s="73"/>
      <c r="G439" s="76"/>
      <c r="H439" s="104">
        <f t="shared" si="654"/>
        <v>0</v>
      </c>
      <c r="I439" s="3" t="str">
        <f t="shared" ref="I439" si="752">IF(B441,CONCATENATE(C439,D439," ",E439,F439,G439),"")</f>
        <v/>
      </c>
    </row>
    <row r="440" spans="2:9" hidden="1" x14ac:dyDescent="0.25">
      <c r="B440" s="102" t="str">
        <f>LOOKUP(B438,INICIO!A$10:A$109,INICIO!L$10:L$109)</f>
        <v/>
      </c>
      <c r="C440" s="72" t="s">
        <v>109</v>
      </c>
      <c r="D440" s="73"/>
      <c r="E440" s="73"/>
      <c r="F440" s="73"/>
      <c r="G440" s="76"/>
      <c r="H440" s="104">
        <f t="shared" si="654"/>
        <v>0</v>
      </c>
      <c r="I440" s="3" t="str">
        <f t="shared" ref="I440" si="753">IF(B441,CONCATENATE(C440,D440," ",E440,F440,G440),"")</f>
        <v/>
      </c>
    </row>
    <row r="441" spans="2:9" hidden="1" x14ac:dyDescent="0.25">
      <c r="B441" s="102">
        <f>LOOKUP(B438,INICIO!A$10:A$109,INICIO!J$10:J$109)</f>
        <v>0</v>
      </c>
      <c r="C441" s="72" t="s">
        <v>110</v>
      </c>
      <c r="D441" s="73" t="str">
        <f t="shared" ref="D441" si="754">CONCATENATE(E438,F438)</f>
        <v/>
      </c>
      <c r="E441" s="73" t="s">
        <v>73</v>
      </c>
      <c r="F441" s="73"/>
      <c r="G441" s="76"/>
      <c r="H441" s="104">
        <f t="shared" si="654"/>
        <v>0</v>
      </c>
      <c r="I441" s="3" t="str">
        <f t="shared" ref="I441" si="755">IF(B441,CONCATENATE(C441,D441," ",E441,F441,G441),"")</f>
        <v/>
      </c>
    </row>
    <row r="442" spans="2:9" hidden="1" x14ac:dyDescent="0.25">
      <c r="B442" s="102">
        <f>LOOKUP(B438,INICIO!A$10:A$109,INICIO!E$10:E$109)</f>
        <v>0</v>
      </c>
      <c r="C442" s="72" t="s">
        <v>111</v>
      </c>
      <c r="D442" s="73" t="str">
        <f t="shared" ref="D442" si="756">CONCATENATE(E438,F438)</f>
        <v/>
      </c>
      <c r="E442" s="73" t="s">
        <v>74</v>
      </c>
      <c r="F442" s="73"/>
      <c r="G442" s="76"/>
      <c r="H442" s="104">
        <f t="shared" si="654"/>
        <v>0</v>
      </c>
      <c r="I442" s="3" t="str">
        <f t="shared" ref="I442" si="757">IF(B441,CONCATENATE(C442,D442," ",E442,F442,G442),"")</f>
        <v/>
      </c>
    </row>
    <row r="443" spans="2:9" hidden="1" x14ac:dyDescent="0.25">
      <c r="B443" s="103"/>
      <c r="C443" s="74" t="s">
        <v>112</v>
      </c>
      <c r="D443" s="40"/>
      <c r="E443" s="40"/>
      <c r="F443" s="40"/>
      <c r="G443" s="77"/>
      <c r="H443" s="104">
        <f t="shared" si="654"/>
        <v>0</v>
      </c>
      <c r="I443" s="3" t="str">
        <f t="shared" ref="I443" si="758">IF(B441,CONCATENATE(C443,D443," ",E443,F443,G443),"")</f>
        <v/>
      </c>
    </row>
    <row r="444" spans="2:9" hidden="1" x14ac:dyDescent="0.25">
      <c r="H444" s="104">
        <f t="shared" si="654"/>
        <v>0</v>
      </c>
      <c r="I444" s="3" t="str">
        <f t="shared" ref="I444" si="759">IF(ISTEXT(B449),CONCATENATE("    // ",B449),"")</f>
        <v/>
      </c>
    </row>
    <row r="445" spans="2:9" hidden="1" x14ac:dyDescent="0.25">
      <c r="B445" s="101">
        <v>64</v>
      </c>
      <c r="C445" s="70" t="s">
        <v>107</v>
      </c>
      <c r="D445" s="71" t="str">
        <f t="shared" ref="D445" si="760">B447</f>
        <v/>
      </c>
      <c r="E445" s="71" t="str">
        <f t="shared" ref="E445" si="761">LOWER(E446)</f>
        <v/>
      </c>
      <c r="F445" s="71"/>
      <c r="G445" s="75" t="s">
        <v>72</v>
      </c>
      <c r="H445" s="104">
        <f t="shared" si="654"/>
        <v>0</v>
      </c>
      <c r="I445" s="3" t="str">
        <f t="shared" ref="I445" si="762">IF(B448,CONCATENATE(C445,D445," ",E445,F445,G445),"")</f>
        <v/>
      </c>
    </row>
    <row r="446" spans="2:9" hidden="1" x14ac:dyDescent="0.25">
      <c r="B446" s="102" t="str">
        <f>LOOKUP(B445,INICIO!A$10:A$109,INICIO!K$10:K$109)</f>
        <v/>
      </c>
      <c r="C446" s="72" t="s">
        <v>108</v>
      </c>
      <c r="D446" s="73" t="str">
        <f t="shared" ref="D446" si="763">B447</f>
        <v/>
      </c>
      <c r="E446" s="73" t="str">
        <f t="shared" ref="E446" si="764">B446</f>
        <v/>
      </c>
      <c r="F446" s="73"/>
      <c r="G446" s="76"/>
      <c r="H446" s="104">
        <f t="shared" si="654"/>
        <v>0</v>
      </c>
      <c r="I446" s="3" t="str">
        <f t="shared" ref="I446" si="765">IF(B448,CONCATENATE(C446,D446," ",E446,F446,G446),"")</f>
        <v/>
      </c>
    </row>
    <row r="447" spans="2:9" hidden="1" x14ac:dyDescent="0.25">
      <c r="B447" s="102" t="str">
        <f>LOOKUP(B445,INICIO!A$10:A$109,INICIO!L$10:L$109)</f>
        <v/>
      </c>
      <c r="C447" s="72" t="s">
        <v>109</v>
      </c>
      <c r="D447" s="73"/>
      <c r="E447" s="73"/>
      <c r="F447" s="73"/>
      <c r="G447" s="76"/>
      <c r="H447" s="104">
        <f t="shared" si="654"/>
        <v>0</v>
      </c>
      <c r="I447" s="3" t="str">
        <f t="shared" ref="I447" si="766">IF(B448,CONCATENATE(C447,D447," ",E447,F447,G447),"")</f>
        <v/>
      </c>
    </row>
    <row r="448" spans="2:9" hidden="1" x14ac:dyDescent="0.25">
      <c r="B448" s="102">
        <f>LOOKUP(B445,INICIO!A$10:A$109,INICIO!J$10:J$109)</f>
        <v>0</v>
      </c>
      <c r="C448" s="72" t="s">
        <v>110</v>
      </c>
      <c r="D448" s="73" t="str">
        <f t="shared" ref="D448" si="767">CONCATENATE(E445,F445)</f>
        <v/>
      </c>
      <c r="E448" s="73" t="s">
        <v>73</v>
      </c>
      <c r="F448" s="73"/>
      <c r="G448" s="76"/>
      <c r="H448" s="104">
        <f t="shared" si="654"/>
        <v>0</v>
      </c>
      <c r="I448" s="3" t="str">
        <f t="shared" ref="I448" si="768">IF(B448,CONCATENATE(C448,D448," ",E448,F448,G448),"")</f>
        <v/>
      </c>
    </row>
    <row r="449" spans="2:9" hidden="1" x14ac:dyDescent="0.25">
      <c r="B449" s="102">
        <f>LOOKUP(B445,INICIO!A$10:A$109,INICIO!E$10:E$109)</f>
        <v>0</v>
      </c>
      <c r="C449" s="72" t="s">
        <v>111</v>
      </c>
      <c r="D449" s="73" t="str">
        <f t="shared" ref="D449" si="769">CONCATENATE(E445,F445)</f>
        <v/>
      </c>
      <c r="E449" s="73" t="s">
        <v>74</v>
      </c>
      <c r="F449" s="73"/>
      <c r="G449" s="76"/>
      <c r="H449" s="104">
        <f t="shared" si="654"/>
        <v>0</v>
      </c>
      <c r="I449" s="3" t="str">
        <f t="shared" ref="I449" si="770">IF(B448,CONCATENATE(C449,D449," ",E449,F449,G449),"")</f>
        <v/>
      </c>
    </row>
    <row r="450" spans="2:9" hidden="1" x14ac:dyDescent="0.25">
      <c r="B450" s="103"/>
      <c r="C450" s="74" t="s">
        <v>112</v>
      </c>
      <c r="D450" s="40"/>
      <c r="E450" s="40"/>
      <c r="F450" s="40"/>
      <c r="G450" s="77"/>
      <c r="H450" s="104">
        <f t="shared" si="654"/>
        <v>0</v>
      </c>
      <c r="I450" s="3" t="str">
        <f t="shared" ref="I450" si="771">IF(B448,CONCATENATE(C450,D450," ",E450,F450,G450),"")</f>
        <v/>
      </c>
    </row>
    <row r="451" spans="2:9" hidden="1" x14ac:dyDescent="0.25">
      <c r="H451" s="104">
        <f t="shared" si="654"/>
        <v>0</v>
      </c>
      <c r="I451" s="3" t="str">
        <f t="shared" ref="I451" si="772">IF(ISTEXT(B456),CONCATENATE("    // ",B456),"")</f>
        <v/>
      </c>
    </row>
    <row r="452" spans="2:9" hidden="1" x14ac:dyDescent="0.25">
      <c r="B452" s="101">
        <v>65</v>
      </c>
      <c r="C452" s="70" t="s">
        <v>107</v>
      </c>
      <c r="D452" s="71" t="str">
        <f t="shared" ref="D452" si="773">B454</f>
        <v/>
      </c>
      <c r="E452" s="71" t="str">
        <f t="shared" ref="E452" si="774">LOWER(E453)</f>
        <v/>
      </c>
      <c r="F452" s="71"/>
      <c r="G452" s="75" t="s">
        <v>72</v>
      </c>
      <c r="H452" s="104">
        <f t="shared" ref="H452:H515" si="775">IF(I452&lt;&gt;"",1,0)</f>
        <v>0</v>
      </c>
      <c r="I452" s="3" t="str">
        <f t="shared" ref="I452" si="776">IF(B455,CONCATENATE(C452,D452," ",E452,F452,G452),"")</f>
        <v/>
      </c>
    </row>
    <row r="453" spans="2:9" hidden="1" x14ac:dyDescent="0.25">
      <c r="B453" s="102" t="str">
        <f>LOOKUP(B452,INICIO!A$10:A$109,INICIO!K$10:K$109)</f>
        <v/>
      </c>
      <c r="C453" s="72" t="s">
        <v>108</v>
      </c>
      <c r="D453" s="73" t="str">
        <f t="shared" ref="D453" si="777">B454</f>
        <v/>
      </c>
      <c r="E453" s="73" t="str">
        <f t="shared" ref="E453" si="778">B453</f>
        <v/>
      </c>
      <c r="F453" s="73"/>
      <c r="G453" s="76"/>
      <c r="H453" s="104">
        <f t="shared" si="775"/>
        <v>0</v>
      </c>
      <c r="I453" s="3" t="str">
        <f t="shared" ref="I453" si="779">IF(B455,CONCATENATE(C453,D453," ",E453,F453,G453),"")</f>
        <v/>
      </c>
    </row>
    <row r="454" spans="2:9" hidden="1" x14ac:dyDescent="0.25">
      <c r="B454" s="102" t="str">
        <f>LOOKUP(B452,INICIO!A$10:A$109,INICIO!L$10:L$109)</f>
        <v/>
      </c>
      <c r="C454" s="72" t="s">
        <v>109</v>
      </c>
      <c r="D454" s="73"/>
      <c r="E454" s="73"/>
      <c r="F454" s="73"/>
      <c r="G454" s="76"/>
      <c r="H454" s="104">
        <f t="shared" si="775"/>
        <v>0</v>
      </c>
      <c r="I454" s="3" t="str">
        <f t="shared" ref="I454" si="780">IF(B455,CONCATENATE(C454,D454," ",E454,F454,G454),"")</f>
        <v/>
      </c>
    </row>
    <row r="455" spans="2:9" hidden="1" x14ac:dyDescent="0.25">
      <c r="B455" s="102">
        <f>LOOKUP(B452,INICIO!A$10:A$109,INICIO!J$10:J$109)</f>
        <v>0</v>
      </c>
      <c r="C455" s="72" t="s">
        <v>110</v>
      </c>
      <c r="D455" s="73" t="str">
        <f t="shared" ref="D455" si="781">CONCATENATE(E452,F452)</f>
        <v/>
      </c>
      <c r="E455" s="73" t="s">
        <v>73</v>
      </c>
      <c r="F455" s="73"/>
      <c r="G455" s="76"/>
      <c r="H455" s="104">
        <f t="shared" si="775"/>
        <v>0</v>
      </c>
      <c r="I455" s="3" t="str">
        <f t="shared" ref="I455" si="782">IF(B455,CONCATENATE(C455,D455," ",E455,F455,G455),"")</f>
        <v/>
      </c>
    </row>
    <row r="456" spans="2:9" hidden="1" x14ac:dyDescent="0.25">
      <c r="B456" s="102">
        <f>LOOKUP(B452,INICIO!A$10:A$109,INICIO!E$10:E$109)</f>
        <v>0</v>
      </c>
      <c r="C456" s="72" t="s">
        <v>111</v>
      </c>
      <c r="D456" s="73" t="str">
        <f t="shared" ref="D456" si="783">CONCATENATE(E452,F452)</f>
        <v/>
      </c>
      <c r="E456" s="73" t="s">
        <v>74</v>
      </c>
      <c r="F456" s="73"/>
      <c r="G456" s="76"/>
      <c r="H456" s="104">
        <f t="shared" si="775"/>
        <v>0</v>
      </c>
      <c r="I456" s="3" t="str">
        <f t="shared" ref="I456" si="784">IF(B455,CONCATENATE(C456,D456," ",E456,F456,G456),"")</f>
        <v/>
      </c>
    </row>
    <row r="457" spans="2:9" hidden="1" x14ac:dyDescent="0.25">
      <c r="B457" s="103"/>
      <c r="C457" s="74" t="s">
        <v>112</v>
      </c>
      <c r="D457" s="40"/>
      <c r="E457" s="40"/>
      <c r="F457" s="40"/>
      <c r="G457" s="77"/>
      <c r="H457" s="104">
        <f t="shared" si="775"/>
        <v>0</v>
      </c>
      <c r="I457" s="3" t="str">
        <f t="shared" ref="I457" si="785">IF(B455,CONCATENATE(C457,D457," ",E457,F457,G457),"")</f>
        <v/>
      </c>
    </row>
    <row r="458" spans="2:9" hidden="1" x14ac:dyDescent="0.25">
      <c r="H458" s="104">
        <f t="shared" si="775"/>
        <v>0</v>
      </c>
      <c r="I458" s="3" t="str">
        <f t="shared" ref="I458" si="786">IF(ISTEXT(B463),CONCATENATE("    // ",B463),"")</f>
        <v/>
      </c>
    </row>
    <row r="459" spans="2:9" hidden="1" x14ac:dyDescent="0.25">
      <c r="B459" s="101">
        <v>66</v>
      </c>
      <c r="C459" s="70" t="s">
        <v>107</v>
      </c>
      <c r="D459" s="71" t="str">
        <f t="shared" ref="D459" si="787">B461</f>
        <v/>
      </c>
      <c r="E459" s="71" t="str">
        <f t="shared" ref="E459" si="788">LOWER(E460)</f>
        <v/>
      </c>
      <c r="F459" s="71"/>
      <c r="G459" s="75" t="s">
        <v>72</v>
      </c>
      <c r="H459" s="104">
        <f t="shared" si="775"/>
        <v>0</v>
      </c>
      <c r="I459" s="3" t="str">
        <f t="shared" ref="I459" si="789">IF(B462,CONCATENATE(C459,D459," ",E459,F459,G459),"")</f>
        <v/>
      </c>
    </row>
    <row r="460" spans="2:9" hidden="1" x14ac:dyDescent="0.25">
      <c r="B460" s="102" t="str">
        <f>LOOKUP(B459,INICIO!A$10:A$109,INICIO!K$10:K$109)</f>
        <v/>
      </c>
      <c r="C460" s="72" t="s">
        <v>108</v>
      </c>
      <c r="D460" s="73" t="str">
        <f t="shared" ref="D460" si="790">B461</f>
        <v/>
      </c>
      <c r="E460" s="73" t="str">
        <f t="shared" ref="E460" si="791">B460</f>
        <v/>
      </c>
      <c r="F460" s="73"/>
      <c r="G460" s="76"/>
      <c r="H460" s="104">
        <f t="shared" si="775"/>
        <v>0</v>
      </c>
      <c r="I460" s="3" t="str">
        <f t="shared" ref="I460" si="792">IF(B462,CONCATENATE(C460,D460," ",E460,F460,G460),"")</f>
        <v/>
      </c>
    </row>
    <row r="461" spans="2:9" hidden="1" x14ac:dyDescent="0.25">
      <c r="B461" s="102" t="str">
        <f>LOOKUP(B459,INICIO!A$10:A$109,INICIO!L$10:L$109)</f>
        <v/>
      </c>
      <c r="C461" s="72" t="s">
        <v>109</v>
      </c>
      <c r="D461" s="73"/>
      <c r="E461" s="73"/>
      <c r="F461" s="73"/>
      <c r="G461" s="76"/>
      <c r="H461" s="104">
        <f t="shared" si="775"/>
        <v>0</v>
      </c>
      <c r="I461" s="3" t="str">
        <f t="shared" ref="I461" si="793">IF(B462,CONCATENATE(C461,D461," ",E461,F461,G461),"")</f>
        <v/>
      </c>
    </row>
    <row r="462" spans="2:9" hidden="1" x14ac:dyDescent="0.25">
      <c r="B462" s="102">
        <f>LOOKUP(B459,INICIO!A$10:A$109,INICIO!J$10:J$109)</f>
        <v>0</v>
      </c>
      <c r="C462" s="72" t="s">
        <v>110</v>
      </c>
      <c r="D462" s="73" t="str">
        <f t="shared" ref="D462" si="794">CONCATENATE(E459,F459)</f>
        <v/>
      </c>
      <c r="E462" s="73" t="s">
        <v>73</v>
      </c>
      <c r="F462" s="73"/>
      <c r="G462" s="76"/>
      <c r="H462" s="104">
        <f t="shared" si="775"/>
        <v>0</v>
      </c>
      <c r="I462" s="3" t="str">
        <f t="shared" ref="I462" si="795">IF(B462,CONCATENATE(C462,D462," ",E462,F462,G462),"")</f>
        <v/>
      </c>
    </row>
    <row r="463" spans="2:9" hidden="1" x14ac:dyDescent="0.25">
      <c r="B463" s="102">
        <f>LOOKUP(B459,INICIO!A$10:A$109,INICIO!E$10:E$109)</f>
        <v>0</v>
      </c>
      <c r="C463" s="72" t="s">
        <v>111</v>
      </c>
      <c r="D463" s="73" t="str">
        <f t="shared" ref="D463" si="796">CONCATENATE(E459,F459)</f>
        <v/>
      </c>
      <c r="E463" s="73" t="s">
        <v>74</v>
      </c>
      <c r="F463" s="73"/>
      <c r="G463" s="76"/>
      <c r="H463" s="104">
        <f t="shared" si="775"/>
        <v>0</v>
      </c>
      <c r="I463" s="3" t="str">
        <f t="shared" ref="I463" si="797">IF(B462,CONCATENATE(C463,D463," ",E463,F463,G463),"")</f>
        <v/>
      </c>
    </row>
    <row r="464" spans="2:9" hidden="1" x14ac:dyDescent="0.25">
      <c r="B464" s="103"/>
      <c r="C464" s="74" t="s">
        <v>112</v>
      </c>
      <c r="D464" s="40"/>
      <c r="E464" s="40"/>
      <c r="F464" s="40"/>
      <c r="G464" s="77"/>
      <c r="H464" s="104">
        <f t="shared" si="775"/>
        <v>0</v>
      </c>
      <c r="I464" s="3" t="str">
        <f t="shared" ref="I464" si="798">IF(B462,CONCATENATE(C464,D464," ",E464,F464,G464),"")</f>
        <v/>
      </c>
    </row>
    <row r="465" spans="2:9" hidden="1" x14ac:dyDescent="0.25">
      <c r="H465" s="104">
        <f t="shared" si="775"/>
        <v>0</v>
      </c>
      <c r="I465" s="3" t="str">
        <f t="shared" ref="I465" si="799">IF(ISTEXT(B470),CONCATENATE("    // ",B470),"")</f>
        <v/>
      </c>
    </row>
    <row r="466" spans="2:9" hidden="1" x14ac:dyDescent="0.25">
      <c r="B466" s="101">
        <v>67</v>
      </c>
      <c r="C466" s="70" t="s">
        <v>107</v>
      </c>
      <c r="D466" s="71" t="str">
        <f t="shared" ref="D466" si="800">B468</f>
        <v/>
      </c>
      <c r="E466" s="71" t="str">
        <f t="shared" ref="E466" si="801">LOWER(E467)</f>
        <v/>
      </c>
      <c r="F466" s="71"/>
      <c r="G466" s="75" t="s">
        <v>72</v>
      </c>
      <c r="H466" s="104">
        <f t="shared" si="775"/>
        <v>0</v>
      </c>
      <c r="I466" s="3" t="str">
        <f t="shared" ref="I466" si="802">IF(B469,CONCATENATE(C466,D466," ",E466,F466,G466),"")</f>
        <v/>
      </c>
    </row>
    <row r="467" spans="2:9" hidden="1" x14ac:dyDescent="0.25">
      <c r="B467" s="102" t="str">
        <f>LOOKUP(B466,INICIO!A$10:A$109,INICIO!K$10:K$109)</f>
        <v/>
      </c>
      <c r="C467" s="72" t="s">
        <v>108</v>
      </c>
      <c r="D467" s="73" t="str">
        <f t="shared" ref="D467" si="803">B468</f>
        <v/>
      </c>
      <c r="E467" s="73" t="str">
        <f t="shared" ref="E467" si="804">B467</f>
        <v/>
      </c>
      <c r="F467" s="73"/>
      <c r="G467" s="76"/>
      <c r="H467" s="104">
        <f t="shared" si="775"/>
        <v>0</v>
      </c>
      <c r="I467" s="3" t="str">
        <f t="shared" ref="I467" si="805">IF(B469,CONCATENATE(C467,D467," ",E467,F467,G467),"")</f>
        <v/>
      </c>
    </row>
    <row r="468" spans="2:9" hidden="1" x14ac:dyDescent="0.25">
      <c r="B468" s="102" t="str">
        <f>LOOKUP(B466,INICIO!A$10:A$109,INICIO!L$10:L$109)</f>
        <v/>
      </c>
      <c r="C468" s="72" t="s">
        <v>109</v>
      </c>
      <c r="D468" s="73"/>
      <c r="E468" s="73"/>
      <c r="F468" s="73"/>
      <c r="G468" s="76"/>
      <c r="H468" s="104">
        <f t="shared" si="775"/>
        <v>0</v>
      </c>
      <c r="I468" s="3" t="str">
        <f t="shared" ref="I468" si="806">IF(B469,CONCATENATE(C468,D468," ",E468,F468,G468),"")</f>
        <v/>
      </c>
    </row>
    <row r="469" spans="2:9" hidden="1" x14ac:dyDescent="0.25">
      <c r="B469" s="102">
        <f>LOOKUP(B466,INICIO!A$10:A$109,INICIO!J$10:J$109)</f>
        <v>0</v>
      </c>
      <c r="C469" s="72" t="s">
        <v>110</v>
      </c>
      <c r="D469" s="73" t="str">
        <f t="shared" ref="D469" si="807">CONCATENATE(E466,F466)</f>
        <v/>
      </c>
      <c r="E469" s="73" t="s">
        <v>73</v>
      </c>
      <c r="F469" s="73"/>
      <c r="G469" s="76"/>
      <c r="H469" s="104">
        <f t="shared" si="775"/>
        <v>0</v>
      </c>
      <c r="I469" s="3" t="str">
        <f t="shared" ref="I469" si="808">IF(B469,CONCATENATE(C469,D469," ",E469,F469,G469),"")</f>
        <v/>
      </c>
    </row>
    <row r="470" spans="2:9" hidden="1" x14ac:dyDescent="0.25">
      <c r="B470" s="102">
        <f>LOOKUP(B466,INICIO!A$10:A$109,INICIO!E$10:E$109)</f>
        <v>0</v>
      </c>
      <c r="C470" s="72" t="s">
        <v>111</v>
      </c>
      <c r="D470" s="73" t="str">
        <f t="shared" ref="D470" si="809">CONCATENATE(E466,F466)</f>
        <v/>
      </c>
      <c r="E470" s="73" t="s">
        <v>74</v>
      </c>
      <c r="F470" s="73"/>
      <c r="G470" s="76"/>
      <c r="H470" s="104">
        <f t="shared" si="775"/>
        <v>0</v>
      </c>
      <c r="I470" s="3" t="str">
        <f t="shared" ref="I470" si="810">IF(B469,CONCATENATE(C470,D470," ",E470,F470,G470),"")</f>
        <v/>
      </c>
    </row>
    <row r="471" spans="2:9" hidden="1" x14ac:dyDescent="0.25">
      <c r="B471" s="103"/>
      <c r="C471" s="74" t="s">
        <v>112</v>
      </c>
      <c r="D471" s="40"/>
      <c r="E471" s="40"/>
      <c r="F471" s="40"/>
      <c r="G471" s="77"/>
      <c r="H471" s="104">
        <f t="shared" si="775"/>
        <v>0</v>
      </c>
      <c r="I471" s="3" t="str">
        <f t="shared" ref="I471" si="811">IF(B469,CONCATENATE(C471,D471," ",E471,F471,G471),"")</f>
        <v/>
      </c>
    </row>
    <row r="472" spans="2:9" hidden="1" x14ac:dyDescent="0.25">
      <c r="H472" s="104">
        <f t="shared" si="775"/>
        <v>0</v>
      </c>
      <c r="I472" s="3" t="str">
        <f t="shared" ref="I472" si="812">IF(ISTEXT(B477),CONCATENATE("    // ",B477),"")</f>
        <v/>
      </c>
    </row>
    <row r="473" spans="2:9" hidden="1" x14ac:dyDescent="0.25">
      <c r="B473" s="101">
        <v>68</v>
      </c>
      <c r="C473" s="70" t="s">
        <v>107</v>
      </c>
      <c r="D473" s="71" t="str">
        <f t="shared" ref="D473" si="813">B475</f>
        <v/>
      </c>
      <c r="E473" s="71" t="str">
        <f t="shared" ref="E473" si="814">LOWER(E474)</f>
        <v/>
      </c>
      <c r="F473" s="71"/>
      <c r="G473" s="75" t="s">
        <v>72</v>
      </c>
      <c r="H473" s="104">
        <f t="shared" si="775"/>
        <v>0</v>
      </c>
      <c r="I473" s="3" t="str">
        <f t="shared" ref="I473" si="815">IF(B476,CONCATENATE(C473,D473," ",E473,F473,G473),"")</f>
        <v/>
      </c>
    </row>
    <row r="474" spans="2:9" hidden="1" x14ac:dyDescent="0.25">
      <c r="B474" s="102" t="str">
        <f>LOOKUP(B473,INICIO!A$10:A$109,INICIO!K$10:K$109)</f>
        <v/>
      </c>
      <c r="C474" s="72" t="s">
        <v>108</v>
      </c>
      <c r="D474" s="73" t="str">
        <f t="shared" ref="D474" si="816">B475</f>
        <v/>
      </c>
      <c r="E474" s="73" t="str">
        <f t="shared" ref="E474" si="817">B474</f>
        <v/>
      </c>
      <c r="F474" s="73"/>
      <c r="G474" s="76"/>
      <c r="H474" s="104">
        <f t="shared" si="775"/>
        <v>0</v>
      </c>
      <c r="I474" s="3" t="str">
        <f t="shared" ref="I474" si="818">IF(B476,CONCATENATE(C474,D474," ",E474,F474,G474),"")</f>
        <v/>
      </c>
    </row>
    <row r="475" spans="2:9" hidden="1" x14ac:dyDescent="0.25">
      <c r="B475" s="102" t="str">
        <f>LOOKUP(B473,INICIO!A$10:A$109,INICIO!L$10:L$109)</f>
        <v/>
      </c>
      <c r="C475" s="72" t="s">
        <v>109</v>
      </c>
      <c r="D475" s="73"/>
      <c r="E475" s="73"/>
      <c r="F475" s="73"/>
      <c r="G475" s="76"/>
      <c r="H475" s="104">
        <f t="shared" si="775"/>
        <v>0</v>
      </c>
      <c r="I475" s="3" t="str">
        <f t="shared" ref="I475" si="819">IF(B476,CONCATENATE(C475,D475," ",E475,F475,G475),"")</f>
        <v/>
      </c>
    </row>
    <row r="476" spans="2:9" hidden="1" x14ac:dyDescent="0.25">
      <c r="B476" s="102">
        <f>LOOKUP(B473,INICIO!A$10:A$109,INICIO!J$10:J$109)</f>
        <v>0</v>
      </c>
      <c r="C476" s="72" t="s">
        <v>110</v>
      </c>
      <c r="D476" s="73" t="str">
        <f t="shared" ref="D476" si="820">CONCATENATE(E473,F473)</f>
        <v/>
      </c>
      <c r="E476" s="73" t="s">
        <v>73</v>
      </c>
      <c r="F476" s="73"/>
      <c r="G476" s="76"/>
      <c r="H476" s="104">
        <f t="shared" si="775"/>
        <v>0</v>
      </c>
      <c r="I476" s="3" t="str">
        <f t="shared" ref="I476" si="821">IF(B476,CONCATENATE(C476,D476," ",E476,F476,G476),"")</f>
        <v/>
      </c>
    </row>
    <row r="477" spans="2:9" hidden="1" x14ac:dyDescent="0.25">
      <c r="B477" s="102">
        <f>LOOKUP(B473,INICIO!A$10:A$109,INICIO!E$10:E$109)</f>
        <v>0</v>
      </c>
      <c r="C477" s="72" t="s">
        <v>111</v>
      </c>
      <c r="D477" s="73" t="str">
        <f t="shared" ref="D477" si="822">CONCATENATE(E473,F473)</f>
        <v/>
      </c>
      <c r="E477" s="73" t="s">
        <v>74</v>
      </c>
      <c r="F477" s="73"/>
      <c r="G477" s="76"/>
      <c r="H477" s="104">
        <f t="shared" si="775"/>
        <v>0</v>
      </c>
      <c r="I477" s="3" t="str">
        <f t="shared" ref="I477" si="823">IF(B476,CONCATENATE(C477,D477," ",E477,F477,G477),"")</f>
        <v/>
      </c>
    </row>
    <row r="478" spans="2:9" hidden="1" x14ac:dyDescent="0.25">
      <c r="B478" s="103"/>
      <c r="C478" s="74" t="s">
        <v>112</v>
      </c>
      <c r="D478" s="40"/>
      <c r="E478" s="40"/>
      <c r="F478" s="40"/>
      <c r="G478" s="77"/>
      <c r="H478" s="104">
        <f t="shared" si="775"/>
        <v>0</v>
      </c>
      <c r="I478" s="3" t="str">
        <f t="shared" ref="I478" si="824">IF(B476,CONCATENATE(C478,D478," ",E478,F478,G478),"")</f>
        <v/>
      </c>
    </row>
    <row r="479" spans="2:9" hidden="1" x14ac:dyDescent="0.25">
      <c r="H479" s="104">
        <f t="shared" si="775"/>
        <v>0</v>
      </c>
      <c r="I479" s="3" t="str">
        <f t="shared" ref="I479" si="825">IF(ISTEXT(B484),CONCATENATE("    // ",B484),"")</f>
        <v/>
      </c>
    </row>
    <row r="480" spans="2:9" hidden="1" x14ac:dyDescent="0.25">
      <c r="B480" s="101">
        <v>69</v>
      </c>
      <c r="C480" s="70" t="s">
        <v>107</v>
      </c>
      <c r="D480" s="71" t="str">
        <f t="shared" ref="D480" si="826">B482</f>
        <v/>
      </c>
      <c r="E480" s="71" t="str">
        <f t="shared" ref="E480" si="827">LOWER(E481)</f>
        <v/>
      </c>
      <c r="F480" s="71"/>
      <c r="G480" s="75" t="s">
        <v>72</v>
      </c>
      <c r="H480" s="104">
        <f t="shared" si="775"/>
        <v>0</v>
      </c>
      <c r="I480" s="3" t="str">
        <f t="shared" ref="I480" si="828">IF(B483,CONCATENATE(C480,D480," ",E480,F480,G480),"")</f>
        <v/>
      </c>
    </row>
    <row r="481" spans="2:9" hidden="1" x14ac:dyDescent="0.25">
      <c r="B481" s="102" t="str">
        <f>LOOKUP(B480,INICIO!A$10:A$109,INICIO!K$10:K$109)</f>
        <v/>
      </c>
      <c r="C481" s="72" t="s">
        <v>108</v>
      </c>
      <c r="D481" s="73" t="str">
        <f t="shared" ref="D481" si="829">B482</f>
        <v/>
      </c>
      <c r="E481" s="73" t="str">
        <f t="shared" ref="E481" si="830">B481</f>
        <v/>
      </c>
      <c r="F481" s="73"/>
      <c r="G481" s="76"/>
      <c r="H481" s="104">
        <f t="shared" si="775"/>
        <v>0</v>
      </c>
      <c r="I481" s="3" t="str">
        <f t="shared" ref="I481" si="831">IF(B483,CONCATENATE(C481,D481," ",E481,F481,G481),"")</f>
        <v/>
      </c>
    </row>
    <row r="482" spans="2:9" hidden="1" x14ac:dyDescent="0.25">
      <c r="B482" s="102" t="str">
        <f>LOOKUP(B480,INICIO!A$10:A$109,INICIO!L$10:L$109)</f>
        <v/>
      </c>
      <c r="C482" s="72" t="s">
        <v>109</v>
      </c>
      <c r="D482" s="73"/>
      <c r="E482" s="73"/>
      <c r="F482" s="73"/>
      <c r="G482" s="76"/>
      <c r="H482" s="104">
        <f t="shared" si="775"/>
        <v>0</v>
      </c>
      <c r="I482" s="3" t="str">
        <f t="shared" ref="I482" si="832">IF(B483,CONCATENATE(C482,D482," ",E482,F482,G482),"")</f>
        <v/>
      </c>
    </row>
    <row r="483" spans="2:9" hidden="1" x14ac:dyDescent="0.25">
      <c r="B483" s="102">
        <f>LOOKUP(B480,INICIO!A$10:A$109,INICIO!J$10:J$109)</f>
        <v>0</v>
      </c>
      <c r="C483" s="72" t="s">
        <v>110</v>
      </c>
      <c r="D483" s="73" t="str">
        <f t="shared" ref="D483" si="833">CONCATENATE(E480,F480)</f>
        <v/>
      </c>
      <c r="E483" s="73" t="s">
        <v>73</v>
      </c>
      <c r="F483" s="73"/>
      <c r="G483" s="76"/>
      <c r="H483" s="104">
        <f t="shared" si="775"/>
        <v>0</v>
      </c>
      <c r="I483" s="3" t="str">
        <f t="shared" ref="I483" si="834">IF(B483,CONCATENATE(C483,D483," ",E483,F483,G483),"")</f>
        <v/>
      </c>
    </row>
    <row r="484" spans="2:9" hidden="1" x14ac:dyDescent="0.25">
      <c r="B484" s="102">
        <f>LOOKUP(B480,INICIO!A$10:A$109,INICIO!E$10:E$109)</f>
        <v>0</v>
      </c>
      <c r="C484" s="72" t="s">
        <v>111</v>
      </c>
      <c r="D484" s="73" t="str">
        <f t="shared" ref="D484" si="835">CONCATENATE(E480,F480)</f>
        <v/>
      </c>
      <c r="E484" s="73" t="s">
        <v>74</v>
      </c>
      <c r="F484" s="73"/>
      <c r="G484" s="76"/>
      <c r="H484" s="104">
        <f t="shared" si="775"/>
        <v>0</v>
      </c>
      <c r="I484" s="3" t="str">
        <f t="shared" ref="I484" si="836">IF(B483,CONCATENATE(C484,D484," ",E484,F484,G484),"")</f>
        <v/>
      </c>
    </row>
    <row r="485" spans="2:9" hidden="1" x14ac:dyDescent="0.25">
      <c r="B485" s="103"/>
      <c r="C485" s="74" t="s">
        <v>112</v>
      </c>
      <c r="D485" s="40"/>
      <c r="E485" s="40"/>
      <c r="F485" s="40"/>
      <c r="G485" s="77"/>
      <c r="H485" s="104">
        <f t="shared" si="775"/>
        <v>0</v>
      </c>
      <c r="I485" s="3" t="str">
        <f t="shared" ref="I485" si="837">IF(B483,CONCATENATE(C485,D485," ",E485,F485,G485),"")</f>
        <v/>
      </c>
    </row>
    <row r="486" spans="2:9" hidden="1" x14ac:dyDescent="0.25">
      <c r="H486" s="104">
        <f t="shared" si="775"/>
        <v>0</v>
      </c>
      <c r="I486" s="3" t="str">
        <f t="shared" ref="I486" si="838">IF(ISTEXT(B491),CONCATENATE("    // ",B491),"")</f>
        <v/>
      </c>
    </row>
    <row r="487" spans="2:9" hidden="1" x14ac:dyDescent="0.25">
      <c r="B487" s="101">
        <v>70</v>
      </c>
      <c r="C487" s="70" t="s">
        <v>107</v>
      </c>
      <c r="D487" s="71" t="str">
        <f t="shared" ref="D487" si="839">B489</f>
        <v/>
      </c>
      <c r="E487" s="71" t="str">
        <f t="shared" ref="E487" si="840">LOWER(E488)</f>
        <v/>
      </c>
      <c r="F487" s="71"/>
      <c r="G487" s="75" t="s">
        <v>72</v>
      </c>
      <c r="H487" s="104">
        <f t="shared" si="775"/>
        <v>0</v>
      </c>
      <c r="I487" s="3" t="str">
        <f t="shared" ref="I487" si="841">IF(B490,CONCATENATE(C487,D487," ",E487,F487,G487),"")</f>
        <v/>
      </c>
    </row>
    <row r="488" spans="2:9" hidden="1" x14ac:dyDescent="0.25">
      <c r="B488" s="102" t="str">
        <f>LOOKUP(B487,INICIO!A$10:A$109,INICIO!K$10:K$109)</f>
        <v/>
      </c>
      <c r="C488" s="72" t="s">
        <v>108</v>
      </c>
      <c r="D488" s="73" t="str">
        <f t="shared" ref="D488" si="842">B489</f>
        <v/>
      </c>
      <c r="E488" s="73" t="str">
        <f t="shared" ref="E488" si="843">B488</f>
        <v/>
      </c>
      <c r="F488" s="73"/>
      <c r="G488" s="76"/>
      <c r="H488" s="104">
        <f t="shared" si="775"/>
        <v>0</v>
      </c>
      <c r="I488" s="3" t="str">
        <f t="shared" ref="I488" si="844">IF(B490,CONCATENATE(C488,D488," ",E488,F488,G488),"")</f>
        <v/>
      </c>
    </row>
    <row r="489" spans="2:9" hidden="1" x14ac:dyDescent="0.25">
      <c r="B489" s="102" t="str">
        <f>LOOKUP(B487,INICIO!A$10:A$109,INICIO!L$10:L$109)</f>
        <v/>
      </c>
      <c r="C489" s="72" t="s">
        <v>109</v>
      </c>
      <c r="D489" s="73"/>
      <c r="E489" s="73"/>
      <c r="F489" s="73"/>
      <c r="G489" s="76"/>
      <c r="H489" s="104">
        <f t="shared" si="775"/>
        <v>0</v>
      </c>
      <c r="I489" s="3" t="str">
        <f t="shared" ref="I489" si="845">IF(B490,CONCATENATE(C489,D489," ",E489,F489,G489),"")</f>
        <v/>
      </c>
    </row>
    <row r="490" spans="2:9" hidden="1" x14ac:dyDescent="0.25">
      <c r="B490" s="102">
        <f>LOOKUP(B487,INICIO!A$10:A$109,INICIO!J$10:J$109)</f>
        <v>0</v>
      </c>
      <c r="C490" s="72" t="s">
        <v>110</v>
      </c>
      <c r="D490" s="73" t="str">
        <f t="shared" ref="D490" si="846">CONCATENATE(E487,F487)</f>
        <v/>
      </c>
      <c r="E490" s="73" t="s">
        <v>73</v>
      </c>
      <c r="F490" s="73"/>
      <c r="G490" s="76"/>
      <c r="H490" s="104">
        <f t="shared" si="775"/>
        <v>0</v>
      </c>
      <c r="I490" s="3" t="str">
        <f t="shared" ref="I490" si="847">IF(B490,CONCATENATE(C490,D490," ",E490,F490,G490),"")</f>
        <v/>
      </c>
    </row>
    <row r="491" spans="2:9" hidden="1" x14ac:dyDescent="0.25">
      <c r="B491" s="102">
        <f>LOOKUP(B487,INICIO!A$10:A$109,INICIO!E$10:E$109)</f>
        <v>0</v>
      </c>
      <c r="C491" s="72" t="s">
        <v>111</v>
      </c>
      <c r="D491" s="73" t="str">
        <f t="shared" ref="D491" si="848">CONCATENATE(E487,F487)</f>
        <v/>
      </c>
      <c r="E491" s="73" t="s">
        <v>74</v>
      </c>
      <c r="F491" s="73"/>
      <c r="G491" s="76"/>
      <c r="H491" s="104">
        <f t="shared" si="775"/>
        <v>0</v>
      </c>
      <c r="I491" s="3" t="str">
        <f t="shared" ref="I491" si="849">IF(B490,CONCATENATE(C491,D491," ",E491,F491,G491),"")</f>
        <v/>
      </c>
    </row>
    <row r="492" spans="2:9" hidden="1" x14ac:dyDescent="0.25">
      <c r="B492" s="103"/>
      <c r="C492" s="74" t="s">
        <v>112</v>
      </c>
      <c r="D492" s="40"/>
      <c r="E492" s="40"/>
      <c r="F492" s="40"/>
      <c r="G492" s="77"/>
      <c r="H492" s="104">
        <f t="shared" si="775"/>
        <v>0</v>
      </c>
      <c r="I492" s="3" t="str">
        <f t="shared" ref="I492" si="850">IF(B490,CONCATENATE(C492,D492," ",E492,F492,G492),"")</f>
        <v/>
      </c>
    </row>
    <row r="493" spans="2:9" hidden="1" x14ac:dyDescent="0.25">
      <c r="H493" s="104">
        <f t="shared" si="775"/>
        <v>0</v>
      </c>
      <c r="I493" s="3" t="str">
        <f t="shared" ref="I493" si="851">IF(ISTEXT(B498),CONCATENATE("    // ",B498),"")</f>
        <v/>
      </c>
    </row>
    <row r="494" spans="2:9" hidden="1" x14ac:dyDescent="0.25">
      <c r="B494" s="101">
        <v>71</v>
      </c>
      <c r="C494" s="70" t="s">
        <v>107</v>
      </c>
      <c r="D494" s="71" t="str">
        <f t="shared" ref="D494" si="852">B496</f>
        <v/>
      </c>
      <c r="E494" s="71" t="str">
        <f t="shared" ref="E494" si="853">LOWER(E495)</f>
        <v/>
      </c>
      <c r="F494" s="71"/>
      <c r="G494" s="75" t="s">
        <v>72</v>
      </c>
      <c r="H494" s="104">
        <f t="shared" si="775"/>
        <v>0</v>
      </c>
      <c r="I494" s="3" t="str">
        <f t="shared" ref="I494" si="854">IF(B497,CONCATENATE(C494,D494," ",E494,F494,G494),"")</f>
        <v/>
      </c>
    </row>
    <row r="495" spans="2:9" hidden="1" x14ac:dyDescent="0.25">
      <c r="B495" s="102" t="str">
        <f>LOOKUP(B494,INICIO!A$10:A$109,INICIO!K$10:K$109)</f>
        <v/>
      </c>
      <c r="C495" s="72" t="s">
        <v>108</v>
      </c>
      <c r="D495" s="73" t="str">
        <f t="shared" ref="D495" si="855">B496</f>
        <v/>
      </c>
      <c r="E495" s="73" t="str">
        <f t="shared" ref="E495" si="856">B495</f>
        <v/>
      </c>
      <c r="F495" s="73"/>
      <c r="G495" s="76"/>
      <c r="H495" s="104">
        <f t="shared" si="775"/>
        <v>0</v>
      </c>
      <c r="I495" s="3" t="str">
        <f t="shared" ref="I495" si="857">IF(B497,CONCATENATE(C495,D495," ",E495,F495,G495),"")</f>
        <v/>
      </c>
    </row>
    <row r="496" spans="2:9" hidden="1" x14ac:dyDescent="0.25">
      <c r="B496" s="102" t="str">
        <f>LOOKUP(B494,INICIO!A$10:A$109,INICIO!L$10:L$109)</f>
        <v/>
      </c>
      <c r="C496" s="72" t="s">
        <v>109</v>
      </c>
      <c r="D496" s="73"/>
      <c r="E496" s="73"/>
      <c r="F496" s="73"/>
      <c r="G496" s="76"/>
      <c r="H496" s="104">
        <f t="shared" si="775"/>
        <v>0</v>
      </c>
      <c r="I496" s="3" t="str">
        <f t="shared" ref="I496" si="858">IF(B497,CONCATENATE(C496,D496," ",E496,F496,G496),"")</f>
        <v/>
      </c>
    </row>
    <row r="497" spans="2:9" hidden="1" x14ac:dyDescent="0.25">
      <c r="B497" s="102">
        <f>LOOKUP(B494,INICIO!A$10:A$109,INICIO!J$10:J$109)</f>
        <v>0</v>
      </c>
      <c r="C497" s="72" t="s">
        <v>110</v>
      </c>
      <c r="D497" s="73" t="str">
        <f t="shared" ref="D497" si="859">CONCATENATE(E494,F494)</f>
        <v/>
      </c>
      <c r="E497" s="73" t="s">
        <v>73</v>
      </c>
      <c r="F497" s="73"/>
      <c r="G497" s="76"/>
      <c r="H497" s="104">
        <f t="shared" si="775"/>
        <v>0</v>
      </c>
      <c r="I497" s="3" t="str">
        <f t="shared" ref="I497" si="860">IF(B497,CONCATENATE(C497,D497," ",E497,F497,G497),"")</f>
        <v/>
      </c>
    </row>
    <row r="498" spans="2:9" hidden="1" x14ac:dyDescent="0.25">
      <c r="B498" s="102">
        <f>LOOKUP(B494,INICIO!A$10:A$109,INICIO!E$10:E$109)</f>
        <v>0</v>
      </c>
      <c r="C498" s="72" t="s">
        <v>111</v>
      </c>
      <c r="D498" s="73" t="str">
        <f t="shared" ref="D498" si="861">CONCATENATE(E494,F494)</f>
        <v/>
      </c>
      <c r="E498" s="73" t="s">
        <v>74</v>
      </c>
      <c r="F498" s="73"/>
      <c r="G498" s="76"/>
      <c r="H498" s="104">
        <f t="shared" si="775"/>
        <v>0</v>
      </c>
      <c r="I498" s="3" t="str">
        <f t="shared" ref="I498" si="862">IF(B497,CONCATENATE(C498,D498," ",E498,F498,G498),"")</f>
        <v/>
      </c>
    </row>
    <row r="499" spans="2:9" hidden="1" x14ac:dyDescent="0.25">
      <c r="B499" s="103"/>
      <c r="C499" s="74" t="s">
        <v>112</v>
      </c>
      <c r="D499" s="40"/>
      <c r="E499" s="40"/>
      <c r="F499" s="40"/>
      <c r="G499" s="77"/>
      <c r="H499" s="104">
        <f t="shared" si="775"/>
        <v>0</v>
      </c>
      <c r="I499" s="3" t="str">
        <f t="shared" ref="I499" si="863">IF(B497,CONCATENATE(C499,D499," ",E499,F499,G499),"")</f>
        <v/>
      </c>
    </row>
    <row r="500" spans="2:9" hidden="1" x14ac:dyDescent="0.25">
      <c r="H500" s="104">
        <f t="shared" si="775"/>
        <v>0</v>
      </c>
      <c r="I500" s="3" t="str">
        <f t="shared" ref="I500" si="864">IF(ISTEXT(B505),CONCATENATE("    // ",B505),"")</f>
        <v/>
      </c>
    </row>
    <row r="501" spans="2:9" hidden="1" x14ac:dyDescent="0.25">
      <c r="B501" s="101">
        <v>72</v>
      </c>
      <c r="C501" s="70" t="s">
        <v>107</v>
      </c>
      <c r="D501" s="71" t="str">
        <f t="shared" ref="D501" si="865">B503</f>
        <v/>
      </c>
      <c r="E501" s="71" t="str">
        <f t="shared" ref="E501" si="866">LOWER(E502)</f>
        <v/>
      </c>
      <c r="F501" s="71"/>
      <c r="G501" s="75" t="s">
        <v>72</v>
      </c>
      <c r="H501" s="104">
        <f t="shared" si="775"/>
        <v>0</v>
      </c>
      <c r="I501" s="3" t="str">
        <f t="shared" ref="I501" si="867">IF(B504,CONCATENATE(C501,D501," ",E501,F501,G501),"")</f>
        <v/>
      </c>
    </row>
    <row r="502" spans="2:9" hidden="1" x14ac:dyDescent="0.25">
      <c r="B502" s="102" t="str">
        <f>LOOKUP(B501,INICIO!A$10:A$109,INICIO!K$10:K$109)</f>
        <v/>
      </c>
      <c r="C502" s="72" t="s">
        <v>108</v>
      </c>
      <c r="D502" s="73" t="str">
        <f t="shared" ref="D502" si="868">B503</f>
        <v/>
      </c>
      <c r="E502" s="73" t="str">
        <f t="shared" ref="E502" si="869">B502</f>
        <v/>
      </c>
      <c r="F502" s="73"/>
      <c r="G502" s="76"/>
      <c r="H502" s="104">
        <f t="shared" si="775"/>
        <v>0</v>
      </c>
      <c r="I502" s="3" t="str">
        <f t="shared" ref="I502" si="870">IF(B504,CONCATENATE(C502,D502," ",E502,F502,G502),"")</f>
        <v/>
      </c>
    </row>
    <row r="503" spans="2:9" hidden="1" x14ac:dyDescent="0.25">
      <c r="B503" s="102" t="str">
        <f>LOOKUP(B501,INICIO!A$10:A$109,INICIO!L$10:L$109)</f>
        <v/>
      </c>
      <c r="C503" s="72" t="s">
        <v>109</v>
      </c>
      <c r="D503" s="73"/>
      <c r="E503" s="73"/>
      <c r="F503" s="73"/>
      <c r="G503" s="76"/>
      <c r="H503" s="104">
        <f t="shared" si="775"/>
        <v>0</v>
      </c>
      <c r="I503" s="3" t="str">
        <f t="shared" ref="I503" si="871">IF(B504,CONCATENATE(C503,D503," ",E503,F503,G503),"")</f>
        <v/>
      </c>
    </row>
    <row r="504" spans="2:9" hidden="1" x14ac:dyDescent="0.25">
      <c r="B504" s="102">
        <f>LOOKUP(B501,INICIO!A$10:A$109,INICIO!J$10:J$109)</f>
        <v>0</v>
      </c>
      <c r="C504" s="72" t="s">
        <v>110</v>
      </c>
      <c r="D504" s="73" t="str">
        <f t="shared" ref="D504" si="872">CONCATENATE(E501,F501)</f>
        <v/>
      </c>
      <c r="E504" s="73" t="s">
        <v>73</v>
      </c>
      <c r="F504" s="73"/>
      <c r="G504" s="76"/>
      <c r="H504" s="104">
        <f t="shared" si="775"/>
        <v>0</v>
      </c>
      <c r="I504" s="3" t="str">
        <f t="shared" ref="I504" si="873">IF(B504,CONCATENATE(C504,D504," ",E504,F504,G504),"")</f>
        <v/>
      </c>
    </row>
    <row r="505" spans="2:9" hidden="1" x14ac:dyDescent="0.25">
      <c r="B505" s="102">
        <f>LOOKUP(B501,INICIO!A$10:A$109,INICIO!E$10:E$109)</f>
        <v>0</v>
      </c>
      <c r="C505" s="72" t="s">
        <v>111</v>
      </c>
      <c r="D505" s="73" t="str">
        <f t="shared" ref="D505" si="874">CONCATENATE(E501,F501)</f>
        <v/>
      </c>
      <c r="E505" s="73" t="s">
        <v>74</v>
      </c>
      <c r="F505" s="73"/>
      <c r="G505" s="76"/>
      <c r="H505" s="104">
        <f t="shared" si="775"/>
        <v>0</v>
      </c>
      <c r="I505" s="3" t="str">
        <f t="shared" ref="I505" si="875">IF(B504,CONCATENATE(C505,D505," ",E505,F505,G505),"")</f>
        <v/>
      </c>
    </row>
    <row r="506" spans="2:9" hidden="1" x14ac:dyDescent="0.25">
      <c r="B506" s="103"/>
      <c r="C506" s="74" t="s">
        <v>112</v>
      </c>
      <c r="D506" s="40"/>
      <c r="E506" s="40"/>
      <c r="F506" s="40"/>
      <c r="G506" s="77"/>
      <c r="H506" s="104">
        <f t="shared" si="775"/>
        <v>0</v>
      </c>
      <c r="I506" s="3" t="str">
        <f t="shared" ref="I506" si="876">IF(B504,CONCATENATE(C506,D506," ",E506,F506,G506),"")</f>
        <v/>
      </c>
    </row>
    <row r="507" spans="2:9" hidden="1" x14ac:dyDescent="0.25">
      <c r="H507" s="104">
        <f t="shared" si="775"/>
        <v>0</v>
      </c>
      <c r="I507" s="3" t="str">
        <f t="shared" ref="I507" si="877">IF(ISTEXT(B512),CONCATENATE("    // ",B512),"")</f>
        <v/>
      </c>
    </row>
    <row r="508" spans="2:9" hidden="1" x14ac:dyDescent="0.25">
      <c r="B508" s="101">
        <v>73</v>
      </c>
      <c r="C508" s="70" t="s">
        <v>107</v>
      </c>
      <c r="D508" s="71" t="str">
        <f t="shared" ref="D508" si="878">B510</f>
        <v/>
      </c>
      <c r="E508" s="71" t="str">
        <f t="shared" ref="E508" si="879">LOWER(E509)</f>
        <v/>
      </c>
      <c r="F508" s="71"/>
      <c r="G508" s="75" t="s">
        <v>72</v>
      </c>
      <c r="H508" s="104">
        <f t="shared" si="775"/>
        <v>0</v>
      </c>
      <c r="I508" s="3" t="str">
        <f t="shared" ref="I508" si="880">IF(B511,CONCATENATE(C508,D508," ",E508,F508,G508),"")</f>
        <v/>
      </c>
    </row>
    <row r="509" spans="2:9" hidden="1" x14ac:dyDescent="0.25">
      <c r="B509" s="102" t="str">
        <f>LOOKUP(B508,INICIO!A$10:A$109,INICIO!K$10:K$109)</f>
        <v/>
      </c>
      <c r="C509" s="72" t="s">
        <v>108</v>
      </c>
      <c r="D509" s="73" t="str">
        <f t="shared" ref="D509" si="881">B510</f>
        <v/>
      </c>
      <c r="E509" s="73" t="str">
        <f t="shared" ref="E509" si="882">B509</f>
        <v/>
      </c>
      <c r="F509" s="73"/>
      <c r="G509" s="76"/>
      <c r="H509" s="104">
        <f t="shared" si="775"/>
        <v>0</v>
      </c>
      <c r="I509" s="3" t="str">
        <f t="shared" ref="I509" si="883">IF(B511,CONCATENATE(C509,D509," ",E509,F509,G509),"")</f>
        <v/>
      </c>
    </row>
    <row r="510" spans="2:9" hidden="1" x14ac:dyDescent="0.25">
      <c r="B510" s="102" t="str">
        <f>LOOKUP(B508,INICIO!A$10:A$109,INICIO!L$10:L$109)</f>
        <v/>
      </c>
      <c r="C510" s="72" t="s">
        <v>109</v>
      </c>
      <c r="D510" s="73"/>
      <c r="E510" s="73"/>
      <c r="F510" s="73"/>
      <c r="G510" s="76"/>
      <c r="H510" s="104">
        <f t="shared" si="775"/>
        <v>0</v>
      </c>
      <c r="I510" s="3" t="str">
        <f t="shared" ref="I510" si="884">IF(B511,CONCATENATE(C510,D510," ",E510,F510,G510),"")</f>
        <v/>
      </c>
    </row>
    <row r="511" spans="2:9" hidden="1" x14ac:dyDescent="0.25">
      <c r="B511" s="102">
        <f>LOOKUP(B508,INICIO!A$10:A$109,INICIO!J$10:J$109)</f>
        <v>0</v>
      </c>
      <c r="C511" s="72" t="s">
        <v>110</v>
      </c>
      <c r="D511" s="73" t="str">
        <f t="shared" ref="D511" si="885">CONCATENATE(E508,F508)</f>
        <v/>
      </c>
      <c r="E511" s="73" t="s">
        <v>73</v>
      </c>
      <c r="F511" s="73"/>
      <c r="G511" s="76"/>
      <c r="H511" s="104">
        <f t="shared" si="775"/>
        <v>0</v>
      </c>
      <c r="I511" s="3" t="str">
        <f t="shared" ref="I511" si="886">IF(B511,CONCATENATE(C511,D511," ",E511,F511,G511),"")</f>
        <v/>
      </c>
    </row>
    <row r="512" spans="2:9" hidden="1" x14ac:dyDescent="0.25">
      <c r="B512" s="102">
        <f>LOOKUP(B508,INICIO!A$10:A$109,INICIO!E$10:E$109)</f>
        <v>0</v>
      </c>
      <c r="C512" s="72" t="s">
        <v>111</v>
      </c>
      <c r="D512" s="73" t="str">
        <f t="shared" ref="D512" si="887">CONCATENATE(E508,F508)</f>
        <v/>
      </c>
      <c r="E512" s="73" t="s">
        <v>74</v>
      </c>
      <c r="F512" s="73"/>
      <c r="G512" s="76"/>
      <c r="H512" s="104">
        <f t="shared" si="775"/>
        <v>0</v>
      </c>
      <c r="I512" s="3" t="str">
        <f t="shared" ref="I512" si="888">IF(B511,CONCATENATE(C512,D512," ",E512,F512,G512),"")</f>
        <v/>
      </c>
    </row>
    <row r="513" spans="2:9" hidden="1" x14ac:dyDescent="0.25">
      <c r="B513" s="103"/>
      <c r="C513" s="74" t="s">
        <v>112</v>
      </c>
      <c r="D513" s="40"/>
      <c r="E513" s="40"/>
      <c r="F513" s="40"/>
      <c r="G513" s="77"/>
      <c r="H513" s="104">
        <f t="shared" si="775"/>
        <v>0</v>
      </c>
      <c r="I513" s="3" t="str">
        <f t="shared" ref="I513" si="889">IF(B511,CONCATENATE(C513,D513," ",E513,F513,G513),"")</f>
        <v/>
      </c>
    </row>
    <row r="514" spans="2:9" hidden="1" x14ac:dyDescent="0.25">
      <c r="H514" s="104">
        <f t="shared" si="775"/>
        <v>0</v>
      </c>
      <c r="I514" s="3" t="str">
        <f t="shared" ref="I514" si="890">IF(ISTEXT(B519),CONCATENATE("    // ",B519),"")</f>
        <v/>
      </c>
    </row>
    <row r="515" spans="2:9" hidden="1" x14ac:dyDescent="0.25">
      <c r="B515" s="101">
        <v>74</v>
      </c>
      <c r="C515" s="70" t="s">
        <v>107</v>
      </c>
      <c r="D515" s="71" t="str">
        <f t="shared" ref="D515" si="891">B517</f>
        <v/>
      </c>
      <c r="E515" s="71" t="str">
        <f t="shared" ref="E515" si="892">LOWER(E516)</f>
        <v/>
      </c>
      <c r="F515" s="71"/>
      <c r="G515" s="75" t="s">
        <v>72</v>
      </c>
      <c r="H515" s="104">
        <f t="shared" si="775"/>
        <v>0</v>
      </c>
      <c r="I515" s="3" t="str">
        <f t="shared" ref="I515" si="893">IF(B518,CONCATENATE(C515,D515," ",E515,F515,G515),"")</f>
        <v/>
      </c>
    </row>
    <row r="516" spans="2:9" hidden="1" x14ac:dyDescent="0.25">
      <c r="B516" s="102" t="str">
        <f>LOOKUP(B515,INICIO!A$10:A$109,INICIO!K$10:K$109)</f>
        <v/>
      </c>
      <c r="C516" s="72" t="s">
        <v>108</v>
      </c>
      <c r="D516" s="73" t="str">
        <f t="shared" ref="D516" si="894">B517</f>
        <v/>
      </c>
      <c r="E516" s="73" t="str">
        <f t="shared" ref="E516" si="895">B516</f>
        <v/>
      </c>
      <c r="F516" s="73"/>
      <c r="G516" s="76"/>
      <c r="H516" s="104">
        <f t="shared" ref="H516:H579" si="896">IF(I516&lt;&gt;"",1,0)</f>
        <v>0</v>
      </c>
      <c r="I516" s="3" t="str">
        <f t="shared" ref="I516" si="897">IF(B518,CONCATENATE(C516,D516," ",E516,F516,G516),"")</f>
        <v/>
      </c>
    </row>
    <row r="517" spans="2:9" hidden="1" x14ac:dyDescent="0.25">
      <c r="B517" s="102" t="str">
        <f>LOOKUP(B515,INICIO!A$10:A$109,INICIO!L$10:L$109)</f>
        <v/>
      </c>
      <c r="C517" s="72" t="s">
        <v>109</v>
      </c>
      <c r="D517" s="73"/>
      <c r="E517" s="73"/>
      <c r="F517" s="73"/>
      <c r="G517" s="76"/>
      <c r="H517" s="104">
        <f t="shared" si="896"/>
        <v>0</v>
      </c>
      <c r="I517" s="3" t="str">
        <f t="shared" ref="I517" si="898">IF(B518,CONCATENATE(C517,D517," ",E517,F517,G517),"")</f>
        <v/>
      </c>
    </row>
    <row r="518" spans="2:9" hidden="1" x14ac:dyDescent="0.25">
      <c r="B518" s="102">
        <f>LOOKUP(B515,INICIO!A$10:A$109,INICIO!J$10:J$109)</f>
        <v>0</v>
      </c>
      <c r="C518" s="72" t="s">
        <v>110</v>
      </c>
      <c r="D518" s="73" t="str">
        <f t="shared" ref="D518" si="899">CONCATENATE(E515,F515)</f>
        <v/>
      </c>
      <c r="E518" s="73" t="s">
        <v>73</v>
      </c>
      <c r="F518" s="73"/>
      <c r="G518" s="76"/>
      <c r="H518" s="104">
        <f t="shared" si="896"/>
        <v>0</v>
      </c>
      <c r="I518" s="3" t="str">
        <f t="shared" ref="I518" si="900">IF(B518,CONCATENATE(C518,D518," ",E518,F518,G518),"")</f>
        <v/>
      </c>
    </row>
    <row r="519" spans="2:9" hidden="1" x14ac:dyDescent="0.25">
      <c r="B519" s="102">
        <f>LOOKUP(B515,INICIO!A$10:A$109,INICIO!E$10:E$109)</f>
        <v>0</v>
      </c>
      <c r="C519" s="72" t="s">
        <v>111</v>
      </c>
      <c r="D519" s="73" t="str">
        <f t="shared" ref="D519" si="901">CONCATENATE(E515,F515)</f>
        <v/>
      </c>
      <c r="E519" s="73" t="s">
        <v>74</v>
      </c>
      <c r="F519" s="73"/>
      <c r="G519" s="76"/>
      <c r="H519" s="104">
        <f t="shared" si="896"/>
        <v>0</v>
      </c>
      <c r="I519" s="3" t="str">
        <f t="shared" ref="I519" si="902">IF(B518,CONCATENATE(C519,D519," ",E519,F519,G519),"")</f>
        <v/>
      </c>
    </row>
    <row r="520" spans="2:9" hidden="1" x14ac:dyDescent="0.25">
      <c r="B520" s="103"/>
      <c r="C520" s="74" t="s">
        <v>112</v>
      </c>
      <c r="D520" s="40"/>
      <c r="E520" s="40"/>
      <c r="F520" s="40"/>
      <c r="G520" s="77"/>
      <c r="H520" s="104">
        <f t="shared" si="896"/>
        <v>0</v>
      </c>
      <c r="I520" s="3" t="str">
        <f t="shared" ref="I520" si="903">IF(B518,CONCATENATE(C520,D520," ",E520,F520,G520),"")</f>
        <v/>
      </c>
    </row>
    <row r="521" spans="2:9" hidden="1" x14ac:dyDescent="0.25">
      <c r="H521" s="104">
        <f t="shared" si="896"/>
        <v>0</v>
      </c>
      <c r="I521" s="3" t="str">
        <f t="shared" ref="I521" si="904">IF(ISTEXT(B526),CONCATENATE("    // ",B526),"")</f>
        <v/>
      </c>
    </row>
    <row r="522" spans="2:9" hidden="1" x14ac:dyDescent="0.25">
      <c r="B522" s="101">
        <v>75</v>
      </c>
      <c r="C522" s="70" t="s">
        <v>107</v>
      </c>
      <c r="D522" s="71" t="str">
        <f t="shared" ref="D522" si="905">B524</f>
        <v/>
      </c>
      <c r="E522" s="71" t="str">
        <f t="shared" ref="E522" si="906">LOWER(E523)</f>
        <v/>
      </c>
      <c r="F522" s="71"/>
      <c r="G522" s="75" t="s">
        <v>72</v>
      </c>
      <c r="H522" s="104">
        <f t="shared" si="896"/>
        <v>0</v>
      </c>
      <c r="I522" s="3" t="str">
        <f t="shared" ref="I522" si="907">IF(B525,CONCATENATE(C522,D522," ",E522,F522,G522),"")</f>
        <v/>
      </c>
    </row>
    <row r="523" spans="2:9" hidden="1" x14ac:dyDescent="0.25">
      <c r="B523" s="102" t="str">
        <f>LOOKUP(B522,INICIO!A$10:A$109,INICIO!K$10:K$109)</f>
        <v/>
      </c>
      <c r="C523" s="72" t="s">
        <v>108</v>
      </c>
      <c r="D523" s="73" t="str">
        <f t="shared" ref="D523" si="908">B524</f>
        <v/>
      </c>
      <c r="E523" s="73" t="str">
        <f t="shared" ref="E523" si="909">B523</f>
        <v/>
      </c>
      <c r="F523" s="73"/>
      <c r="G523" s="76"/>
      <c r="H523" s="104">
        <f t="shared" si="896"/>
        <v>0</v>
      </c>
      <c r="I523" s="3" t="str">
        <f t="shared" ref="I523" si="910">IF(B525,CONCATENATE(C523,D523," ",E523,F523,G523),"")</f>
        <v/>
      </c>
    </row>
    <row r="524" spans="2:9" hidden="1" x14ac:dyDescent="0.25">
      <c r="B524" s="102" t="str">
        <f>LOOKUP(B522,INICIO!A$10:A$109,INICIO!L$10:L$109)</f>
        <v/>
      </c>
      <c r="C524" s="72" t="s">
        <v>109</v>
      </c>
      <c r="D524" s="73"/>
      <c r="E524" s="73"/>
      <c r="F524" s="73"/>
      <c r="G524" s="76"/>
      <c r="H524" s="104">
        <f t="shared" si="896"/>
        <v>0</v>
      </c>
      <c r="I524" s="3" t="str">
        <f t="shared" ref="I524" si="911">IF(B525,CONCATENATE(C524,D524," ",E524,F524,G524),"")</f>
        <v/>
      </c>
    </row>
    <row r="525" spans="2:9" hidden="1" x14ac:dyDescent="0.25">
      <c r="B525" s="102">
        <f>LOOKUP(B522,INICIO!A$10:A$109,INICIO!J$10:J$109)</f>
        <v>0</v>
      </c>
      <c r="C525" s="72" t="s">
        <v>110</v>
      </c>
      <c r="D525" s="73" t="str">
        <f t="shared" ref="D525" si="912">CONCATENATE(E522,F522)</f>
        <v/>
      </c>
      <c r="E525" s="73" t="s">
        <v>73</v>
      </c>
      <c r="F525" s="73"/>
      <c r="G525" s="76"/>
      <c r="H525" s="104">
        <f t="shared" si="896"/>
        <v>0</v>
      </c>
      <c r="I525" s="3" t="str">
        <f t="shared" ref="I525" si="913">IF(B525,CONCATENATE(C525,D525," ",E525,F525,G525),"")</f>
        <v/>
      </c>
    </row>
    <row r="526" spans="2:9" hidden="1" x14ac:dyDescent="0.25">
      <c r="B526" s="102">
        <f>LOOKUP(B522,INICIO!A$10:A$109,INICIO!E$10:E$109)</f>
        <v>0</v>
      </c>
      <c r="C526" s="72" t="s">
        <v>111</v>
      </c>
      <c r="D526" s="73" t="str">
        <f t="shared" ref="D526" si="914">CONCATENATE(E522,F522)</f>
        <v/>
      </c>
      <c r="E526" s="73" t="s">
        <v>74</v>
      </c>
      <c r="F526" s="73"/>
      <c r="G526" s="76"/>
      <c r="H526" s="104">
        <f t="shared" si="896"/>
        <v>0</v>
      </c>
      <c r="I526" s="3" t="str">
        <f t="shared" ref="I526" si="915">IF(B525,CONCATENATE(C526,D526," ",E526,F526,G526),"")</f>
        <v/>
      </c>
    </row>
    <row r="527" spans="2:9" hidden="1" x14ac:dyDescent="0.25">
      <c r="B527" s="103"/>
      <c r="C527" s="74" t="s">
        <v>112</v>
      </c>
      <c r="D527" s="40"/>
      <c r="E527" s="40"/>
      <c r="F527" s="40"/>
      <c r="G527" s="77"/>
      <c r="H527" s="104">
        <f t="shared" si="896"/>
        <v>0</v>
      </c>
      <c r="I527" s="3" t="str">
        <f t="shared" ref="I527" si="916">IF(B525,CONCATENATE(C527,D527," ",E527,F527,G527),"")</f>
        <v/>
      </c>
    </row>
    <row r="528" spans="2:9" hidden="1" x14ac:dyDescent="0.25">
      <c r="H528" s="104">
        <f t="shared" si="896"/>
        <v>0</v>
      </c>
      <c r="I528" s="3" t="str">
        <f t="shared" ref="I528" si="917">IF(ISTEXT(B533),CONCATENATE("    // ",B533),"")</f>
        <v/>
      </c>
    </row>
    <row r="529" spans="2:9" hidden="1" x14ac:dyDescent="0.25">
      <c r="B529" s="101">
        <v>76</v>
      </c>
      <c r="C529" s="70" t="s">
        <v>107</v>
      </c>
      <c r="D529" s="71" t="str">
        <f t="shared" ref="D529" si="918">B531</f>
        <v/>
      </c>
      <c r="E529" s="71" t="str">
        <f t="shared" ref="E529" si="919">LOWER(E530)</f>
        <v/>
      </c>
      <c r="F529" s="71"/>
      <c r="G529" s="75" t="s">
        <v>72</v>
      </c>
      <c r="H529" s="104">
        <f t="shared" si="896"/>
        <v>0</v>
      </c>
      <c r="I529" s="3" t="str">
        <f t="shared" ref="I529" si="920">IF(B532,CONCATENATE(C529,D529," ",E529,F529,G529),"")</f>
        <v/>
      </c>
    </row>
    <row r="530" spans="2:9" hidden="1" x14ac:dyDescent="0.25">
      <c r="B530" s="102" t="str">
        <f>LOOKUP(B529,INICIO!A$10:A$109,INICIO!K$10:K$109)</f>
        <v/>
      </c>
      <c r="C530" s="72" t="s">
        <v>108</v>
      </c>
      <c r="D530" s="73" t="str">
        <f t="shared" ref="D530" si="921">B531</f>
        <v/>
      </c>
      <c r="E530" s="73" t="str">
        <f t="shared" ref="E530" si="922">B530</f>
        <v/>
      </c>
      <c r="F530" s="73"/>
      <c r="G530" s="76"/>
      <c r="H530" s="104">
        <f t="shared" si="896"/>
        <v>0</v>
      </c>
      <c r="I530" s="3" t="str">
        <f t="shared" ref="I530" si="923">IF(B532,CONCATENATE(C530,D530," ",E530,F530,G530),"")</f>
        <v/>
      </c>
    </row>
    <row r="531" spans="2:9" hidden="1" x14ac:dyDescent="0.25">
      <c r="B531" s="102" t="str">
        <f>LOOKUP(B529,INICIO!A$10:A$109,INICIO!L$10:L$109)</f>
        <v/>
      </c>
      <c r="C531" s="72" t="s">
        <v>109</v>
      </c>
      <c r="D531" s="73"/>
      <c r="E531" s="73"/>
      <c r="F531" s="73"/>
      <c r="G531" s="76"/>
      <c r="H531" s="104">
        <f t="shared" si="896"/>
        <v>0</v>
      </c>
      <c r="I531" s="3" t="str">
        <f t="shared" ref="I531" si="924">IF(B532,CONCATENATE(C531,D531," ",E531,F531,G531),"")</f>
        <v/>
      </c>
    </row>
    <row r="532" spans="2:9" hidden="1" x14ac:dyDescent="0.25">
      <c r="B532" s="102">
        <f>LOOKUP(B529,INICIO!A$10:A$109,INICIO!J$10:J$109)</f>
        <v>0</v>
      </c>
      <c r="C532" s="72" t="s">
        <v>110</v>
      </c>
      <c r="D532" s="73" t="str">
        <f t="shared" ref="D532" si="925">CONCATENATE(E529,F529)</f>
        <v/>
      </c>
      <c r="E532" s="73" t="s">
        <v>73</v>
      </c>
      <c r="F532" s="73"/>
      <c r="G532" s="76"/>
      <c r="H532" s="104">
        <f t="shared" si="896"/>
        <v>0</v>
      </c>
      <c r="I532" s="3" t="str">
        <f t="shared" ref="I532" si="926">IF(B532,CONCATENATE(C532,D532," ",E532,F532,G532),"")</f>
        <v/>
      </c>
    </row>
    <row r="533" spans="2:9" hidden="1" x14ac:dyDescent="0.25">
      <c r="B533" s="102">
        <f>LOOKUP(B529,INICIO!A$10:A$109,INICIO!E$10:E$109)</f>
        <v>0</v>
      </c>
      <c r="C533" s="72" t="s">
        <v>111</v>
      </c>
      <c r="D533" s="73" t="str">
        <f t="shared" ref="D533" si="927">CONCATENATE(E529,F529)</f>
        <v/>
      </c>
      <c r="E533" s="73" t="s">
        <v>74</v>
      </c>
      <c r="F533" s="73"/>
      <c r="G533" s="76"/>
      <c r="H533" s="104">
        <f t="shared" si="896"/>
        <v>0</v>
      </c>
      <c r="I533" s="3" t="str">
        <f t="shared" ref="I533" si="928">IF(B532,CONCATENATE(C533,D533," ",E533,F533,G533),"")</f>
        <v/>
      </c>
    </row>
    <row r="534" spans="2:9" hidden="1" x14ac:dyDescent="0.25">
      <c r="B534" s="103"/>
      <c r="C534" s="74" t="s">
        <v>112</v>
      </c>
      <c r="D534" s="40"/>
      <c r="E534" s="40"/>
      <c r="F534" s="40"/>
      <c r="G534" s="77"/>
      <c r="H534" s="104">
        <f t="shared" si="896"/>
        <v>0</v>
      </c>
      <c r="I534" s="3" t="str">
        <f t="shared" ref="I534" si="929">IF(B532,CONCATENATE(C534,D534," ",E534,F534,G534),"")</f>
        <v/>
      </c>
    </row>
    <row r="535" spans="2:9" hidden="1" x14ac:dyDescent="0.25">
      <c r="H535" s="104">
        <f t="shared" si="896"/>
        <v>0</v>
      </c>
      <c r="I535" s="3" t="str">
        <f t="shared" ref="I535" si="930">IF(ISTEXT(B540),CONCATENATE("    // ",B540),"")</f>
        <v/>
      </c>
    </row>
    <row r="536" spans="2:9" hidden="1" x14ac:dyDescent="0.25">
      <c r="B536" s="101">
        <v>77</v>
      </c>
      <c r="C536" s="70" t="s">
        <v>107</v>
      </c>
      <c r="D536" s="71" t="str">
        <f t="shared" ref="D536" si="931">B538</f>
        <v/>
      </c>
      <c r="E536" s="71" t="str">
        <f t="shared" ref="E536" si="932">LOWER(E537)</f>
        <v/>
      </c>
      <c r="F536" s="71"/>
      <c r="G536" s="75" t="s">
        <v>72</v>
      </c>
      <c r="H536" s="104">
        <f t="shared" si="896"/>
        <v>0</v>
      </c>
      <c r="I536" s="3" t="str">
        <f t="shared" ref="I536" si="933">IF(B539,CONCATENATE(C536,D536," ",E536,F536,G536),"")</f>
        <v/>
      </c>
    </row>
    <row r="537" spans="2:9" hidden="1" x14ac:dyDescent="0.25">
      <c r="B537" s="102" t="str">
        <f>LOOKUP(B536,INICIO!A$10:A$109,INICIO!K$10:K$109)</f>
        <v/>
      </c>
      <c r="C537" s="72" t="s">
        <v>108</v>
      </c>
      <c r="D537" s="73" t="str">
        <f t="shared" ref="D537" si="934">B538</f>
        <v/>
      </c>
      <c r="E537" s="73" t="str">
        <f t="shared" ref="E537" si="935">B537</f>
        <v/>
      </c>
      <c r="F537" s="73"/>
      <c r="G537" s="76"/>
      <c r="H537" s="104">
        <f t="shared" si="896"/>
        <v>0</v>
      </c>
      <c r="I537" s="3" t="str">
        <f t="shared" ref="I537" si="936">IF(B539,CONCATENATE(C537,D537," ",E537,F537,G537),"")</f>
        <v/>
      </c>
    </row>
    <row r="538" spans="2:9" hidden="1" x14ac:dyDescent="0.25">
      <c r="B538" s="102" t="str">
        <f>LOOKUP(B536,INICIO!A$10:A$109,INICIO!L$10:L$109)</f>
        <v/>
      </c>
      <c r="C538" s="72" t="s">
        <v>109</v>
      </c>
      <c r="D538" s="73"/>
      <c r="E538" s="73"/>
      <c r="F538" s="73"/>
      <c r="G538" s="76"/>
      <c r="H538" s="104">
        <f t="shared" si="896"/>
        <v>0</v>
      </c>
      <c r="I538" s="3" t="str">
        <f t="shared" ref="I538" si="937">IF(B539,CONCATENATE(C538,D538," ",E538,F538,G538),"")</f>
        <v/>
      </c>
    </row>
    <row r="539" spans="2:9" hidden="1" x14ac:dyDescent="0.25">
      <c r="B539" s="102">
        <f>LOOKUP(B536,INICIO!A$10:A$109,INICIO!J$10:J$109)</f>
        <v>0</v>
      </c>
      <c r="C539" s="72" t="s">
        <v>110</v>
      </c>
      <c r="D539" s="73" t="str">
        <f t="shared" ref="D539" si="938">CONCATENATE(E536,F536)</f>
        <v/>
      </c>
      <c r="E539" s="73" t="s">
        <v>73</v>
      </c>
      <c r="F539" s="73"/>
      <c r="G539" s="76"/>
      <c r="H539" s="104">
        <f t="shared" si="896"/>
        <v>0</v>
      </c>
      <c r="I539" s="3" t="str">
        <f t="shared" ref="I539" si="939">IF(B539,CONCATENATE(C539,D539," ",E539,F539,G539),"")</f>
        <v/>
      </c>
    </row>
    <row r="540" spans="2:9" hidden="1" x14ac:dyDescent="0.25">
      <c r="B540" s="102">
        <f>LOOKUP(B536,INICIO!A$10:A$109,INICIO!E$10:E$109)</f>
        <v>0</v>
      </c>
      <c r="C540" s="72" t="s">
        <v>111</v>
      </c>
      <c r="D540" s="73" t="str">
        <f t="shared" ref="D540" si="940">CONCATENATE(E536,F536)</f>
        <v/>
      </c>
      <c r="E540" s="73" t="s">
        <v>74</v>
      </c>
      <c r="F540" s="73"/>
      <c r="G540" s="76"/>
      <c r="H540" s="104">
        <f t="shared" si="896"/>
        <v>0</v>
      </c>
      <c r="I540" s="3" t="str">
        <f t="shared" ref="I540" si="941">IF(B539,CONCATENATE(C540,D540," ",E540,F540,G540),"")</f>
        <v/>
      </c>
    </row>
    <row r="541" spans="2:9" hidden="1" x14ac:dyDescent="0.25">
      <c r="B541" s="103"/>
      <c r="C541" s="74" t="s">
        <v>112</v>
      </c>
      <c r="D541" s="40"/>
      <c r="E541" s="40"/>
      <c r="F541" s="40"/>
      <c r="G541" s="77"/>
      <c r="H541" s="104">
        <f t="shared" si="896"/>
        <v>0</v>
      </c>
      <c r="I541" s="3" t="str">
        <f t="shared" ref="I541" si="942">IF(B539,CONCATENATE(C541,D541," ",E541,F541,G541),"")</f>
        <v/>
      </c>
    </row>
    <row r="542" spans="2:9" hidden="1" x14ac:dyDescent="0.25">
      <c r="H542" s="104">
        <f t="shared" si="896"/>
        <v>0</v>
      </c>
      <c r="I542" s="3" t="str">
        <f t="shared" ref="I542" si="943">IF(ISTEXT(B547),CONCATENATE("    // ",B547),"")</f>
        <v/>
      </c>
    </row>
    <row r="543" spans="2:9" hidden="1" x14ac:dyDescent="0.25">
      <c r="B543" s="101">
        <v>78</v>
      </c>
      <c r="C543" s="70" t="s">
        <v>107</v>
      </c>
      <c r="D543" s="71" t="str">
        <f t="shared" ref="D543" si="944">B545</f>
        <v/>
      </c>
      <c r="E543" s="71" t="str">
        <f t="shared" ref="E543" si="945">LOWER(E544)</f>
        <v/>
      </c>
      <c r="F543" s="71"/>
      <c r="G543" s="75" t="s">
        <v>72</v>
      </c>
      <c r="H543" s="104">
        <f t="shared" si="896"/>
        <v>0</v>
      </c>
      <c r="I543" s="3" t="str">
        <f t="shared" ref="I543" si="946">IF(B546,CONCATENATE(C543,D543," ",E543,F543,G543),"")</f>
        <v/>
      </c>
    </row>
    <row r="544" spans="2:9" hidden="1" x14ac:dyDescent="0.25">
      <c r="B544" s="102" t="str">
        <f>LOOKUP(B543,INICIO!A$10:A$109,INICIO!K$10:K$109)</f>
        <v/>
      </c>
      <c r="C544" s="72" t="s">
        <v>108</v>
      </c>
      <c r="D544" s="73" t="str">
        <f t="shared" ref="D544" si="947">B545</f>
        <v/>
      </c>
      <c r="E544" s="73" t="str">
        <f t="shared" ref="E544" si="948">B544</f>
        <v/>
      </c>
      <c r="F544" s="73"/>
      <c r="G544" s="76"/>
      <c r="H544" s="104">
        <f t="shared" si="896"/>
        <v>0</v>
      </c>
      <c r="I544" s="3" t="str">
        <f t="shared" ref="I544" si="949">IF(B546,CONCATENATE(C544,D544," ",E544,F544,G544),"")</f>
        <v/>
      </c>
    </row>
    <row r="545" spans="2:9" hidden="1" x14ac:dyDescent="0.25">
      <c r="B545" s="102" t="str">
        <f>LOOKUP(B543,INICIO!A$10:A$109,INICIO!L$10:L$109)</f>
        <v/>
      </c>
      <c r="C545" s="72" t="s">
        <v>109</v>
      </c>
      <c r="D545" s="73"/>
      <c r="E545" s="73"/>
      <c r="F545" s="73"/>
      <c r="G545" s="76"/>
      <c r="H545" s="104">
        <f t="shared" si="896"/>
        <v>0</v>
      </c>
      <c r="I545" s="3" t="str">
        <f t="shared" ref="I545" si="950">IF(B546,CONCATENATE(C545,D545," ",E545,F545,G545),"")</f>
        <v/>
      </c>
    </row>
    <row r="546" spans="2:9" hidden="1" x14ac:dyDescent="0.25">
      <c r="B546" s="102">
        <f>LOOKUP(B543,INICIO!A$10:A$109,INICIO!J$10:J$109)</f>
        <v>0</v>
      </c>
      <c r="C546" s="72" t="s">
        <v>110</v>
      </c>
      <c r="D546" s="73" t="str">
        <f t="shared" ref="D546" si="951">CONCATENATE(E543,F543)</f>
        <v/>
      </c>
      <c r="E546" s="73" t="s">
        <v>73</v>
      </c>
      <c r="F546" s="73"/>
      <c r="G546" s="76"/>
      <c r="H546" s="104">
        <f t="shared" si="896"/>
        <v>0</v>
      </c>
      <c r="I546" s="3" t="str">
        <f t="shared" ref="I546" si="952">IF(B546,CONCATENATE(C546,D546," ",E546,F546,G546),"")</f>
        <v/>
      </c>
    </row>
    <row r="547" spans="2:9" hidden="1" x14ac:dyDescent="0.25">
      <c r="B547" s="102">
        <f>LOOKUP(B543,INICIO!A$10:A$109,INICIO!E$10:E$109)</f>
        <v>0</v>
      </c>
      <c r="C547" s="72" t="s">
        <v>111</v>
      </c>
      <c r="D547" s="73" t="str">
        <f t="shared" ref="D547" si="953">CONCATENATE(E543,F543)</f>
        <v/>
      </c>
      <c r="E547" s="73" t="s">
        <v>74</v>
      </c>
      <c r="F547" s="73"/>
      <c r="G547" s="76"/>
      <c r="H547" s="104">
        <f t="shared" si="896"/>
        <v>0</v>
      </c>
      <c r="I547" s="3" t="str">
        <f t="shared" ref="I547" si="954">IF(B546,CONCATENATE(C547,D547," ",E547,F547,G547),"")</f>
        <v/>
      </c>
    </row>
    <row r="548" spans="2:9" hidden="1" x14ac:dyDescent="0.25">
      <c r="B548" s="103"/>
      <c r="C548" s="74" t="s">
        <v>112</v>
      </c>
      <c r="D548" s="40"/>
      <c r="E548" s="40"/>
      <c r="F548" s="40"/>
      <c r="G548" s="77"/>
      <c r="H548" s="104">
        <f t="shared" si="896"/>
        <v>0</v>
      </c>
      <c r="I548" s="3" t="str">
        <f t="shared" ref="I548" si="955">IF(B546,CONCATENATE(C548,D548," ",E548,F548,G548),"")</f>
        <v/>
      </c>
    </row>
    <row r="549" spans="2:9" hidden="1" x14ac:dyDescent="0.25">
      <c r="H549" s="104">
        <f t="shared" si="896"/>
        <v>0</v>
      </c>
      <c r="I549" s="3" t="str">
        <f t="shared" ref="I549" si="956">IF(ISTEXT(B554),CONCATENATE("    // ",B554),"")</f>
        <v/>
      </c>
    </row>
    <row r="550" spans="2:9" hidden="1" x14ac:dyDescent="0.25">
      <c r="B550" s="101">
        <v>79</v>
      </c>
      <c r="C550" s="70" t="s">
        <v>107</v>
      </c>
      <c r="D550" s="71" t="str">
        <f t="shared" ref="D550" si="957">B552</f>
        <v/>
      </c>
      <c r="E550" s="71" t="str">
        <f t="shared" ref="E550" si="958">LOWER(E551)</f>
        <v/>
      </c>
      <c r="F550" s="71"/>
      <c r="G550" s="75" t="s">
        <v>72</v>
      </c>
      <c r="H550" s="104">
        <f t="shared" si="896"/>
        <v>0</v>
      </c>
      <c r="I550" s="3" t="str">
        <f t="shared" ref="I550" si="959">IF(B553,CONCATENATE(C550,D550," ",E550,F550,G550),"")</f>
        <v/>
      </c>
    </row>
    <row r="551" spans="2:9" hidden="1" x14ac:dyDescent="0.25">
      <c r="B551" s="102" t="str">
        <f>LOOKUP(B550,INICIO!A$10:A$109,INICIO!K$10:K$109)</f>
        <v/>
      </c>
      <c r="C551" s="72" t="s">
        <v>108</v>
      </c>
      <c r="D551" s="73" t="str">
        <f t="shared" ref="D551" si="960">B552</f>
        <v/>
      </c>
      <c r="E551" s="73" t="str">
        <f t="shared" ref="E551" si="961">B551</f>
        <v/>
      </c>
      <c r="F551" s="73"/>
      <c r="G551" s="76"/>
      <c r="H551" s="104">
        <f t="shared" si="896"/>
        <v>0</v>
      </c>
      <c r="I551" s="3" t="str">
        <f t="shared" ref="I551" si="962">IF(B553,CONCATENATE(C551,D551," ",E551,F551,G551),"")</f>
        <v/>
      </c>
    </row>
    <row r="552" spans="2:9" hidden="1" x14ac:dyDescent="0.25">
      <c r="B552" s="102" t="str">
        <f>LOOKUP(B550,INICIO!A$10:A$109,INICIO!L$10:L$109)</f>
        <v/>
      </c>
      <c r="C552" s="72" t="s">
        <v>109</v>
      </c>
      <c r="D552" s="73"/>
      <c r="E552" s="73"/>
      <c r="F552" s="73"/>
      <c r="G552" s="76"/>
      <c r="H552" s="104">
        <f t="shared" si="896"/>
        <v>0</v>
      </c>
      <c r="I552" s="3" t="str">
        <f t="shared" ref="I552" si="963">IF(B553,CONCATENATE(C552,D552," ",E552,F552,G552),"")</f>
        <v/>
      </c>
    </row>
    <row r="553" spans="2:9" hidden="1" x14ac:dyDescent="0.25">
      <c r="B553" s="102">
        <f>LOOKUP(B550,INICIO!A$10:A$109,INICIO!J$10:J$109)</f>
        <v>0</v>
      </c>
      <c r="C553" s="72" t="s">
        <v>110</v>
      </c>
      <c r="D553" s="73" t="str">
        <f t="shared" ref="D553" si="964">CONCATENATE(E550,F550)</f>
        <v/>
      </c>
      <c r="E553" s="73" t="s">
        <v>73</v>
      </c>
      <c r="F553" s="73"/>
      <c r="G553" s="76"/>
      <c r="H553" s="104">
        <f t="shared" si="896"/>
        <v>0</v>
      </c>
      <c r="I553" s="3" t="str">
        <f t="shared" ref="I553" si="965">IF(B553,CONCATENATE(C553,D553," ",E553,F553,G553),"")</f>
        <v/>
      </c>
    </row>
    <row r="554" spans="2:9" hidden="1" x14ac:dyDescent="0.25">
      <c r="B554" s="102">
        <f>LOOKUP(B550,INICIO!A$10:A$109,INICIO!E$10:E$109)</f>
        <v>0</v>
      </c>
      <c r="C554" s="72" t="s">
        <v>111</v>
      </c>
      <c r="D554" s="73" t="str">
        <f t="shared" ref="D554" si="966">CONCATENATE(E550,F550)</f>
        <v/>
      </c>
      <c r="E554" s="73" t="s">
        <v>74</v>
      </c>
      <c r="F554" s="73"/>
      <c r="G554" s="76"/>
      <c r="H554" s="104">
        <f t="shared" si="896"/>
        <v>0</v>
      </c>
      <c r="I554" s="3" t="str">
        <f t="shared" ref="I554" si="967">IF(B553,CONCATENATE(C554,D554," ",E554,F554,G554),"")</f>
        <v/>
      </c>
    </row>
    <row r="555" spans="2:9" hidden="1" x14ac:dyDescent="0.25">
      <c r="B555" s="103"/>
      <c r="C555" s="74" t="s">
        <v>112</v>
      </c>
      <c r="D555" s="40"/>
      <c r="E555" s="40"/>
      <c r="F555" s="40"/>
      <c r="G555" s="77"/>
      <c r="H555" s="104">
        <f t="shared" si="896"/>
        <v>0</v>
      </c>
      <c r="I555" s="3" t="str">
        <f t="shared" ref="I555" si="968">IF(B553,CONCATENATE(C555,D555," ",E555,F555,G555),"")</f>
        <v/>
      </c>
    </row>
    <row r="556" spans="2:9" hidden="1" x14ac:dyDescent="0.25">
      <c r="H556" s="104">
        <f t="shared" si="896"/>
        <v>0</v>
      </c>
      <c r="I556" s="3" t="str">
        <f t="shared" ref="I556" si="969">IF(ISTEXT(B561),CONCATENATE("    // ",B561),"")</f>
        <v/>
      </c>
    </row>
    <row r="557" spans="2:9" hidden="1" x14ac:dyDescent="0.25">
      <c r="B557" s="101">
        <v>80</v>
      </c>
      <c r="C557" s="70" t="s">
        <v>107</v>
      </c>
      <c r="D557" s="71" t="str">
        <f t="shared" ref="D557" si="970">B559</f>
        <v/>
      </c>
      <c r="E557" s="71" t="str">
        <f t="shared" ref="E557" si="971">LOWER(E558)</f>
        <v/>
      </c>
      <c r="F557" s="71"/>
      <c r="G557" s="75" t="s">
        <v>72</v>
      </c>
      <c r="H557" s="104">
        <f t="shared" si="896"/>
        <v>0</v>
      </c>
      <c r="I557" s="3" t="str">
        <f t="shared" ref="I557" si="972">IF(B560,CONCATENATE(C557,D557," ",E557,F557,G557),"")</f>
        <v/>
      </c>
    </row>
    <row r="558" spans="2:9" hidden="1" x14ac:dyDescent="0.25">
      <c r="B558" s="102" t="str">
        <f>LOOKUP(B557,INICIO!A$10:A$109,INICIO!K$10:K$109)</f>
        <v/>
      </c>
      <c r="C558" s="72" t="s">
        <v>108</v>
      </c>
      <c r="D558" s="73" t="str">
        <f t="shared" ref="D558" si="973">B559</f>
        <v/>
      </c>
      <c r="E558" s="73" t="str">
        <f t="shared" ref="E558" si="974">B558</f>
        <v/>
      </c>
      <c r="F558" s="73"/>
      <c r="G558" s="76"/>
      <c r="H558" s="104">
        <f t="shared" si="896"/>
        <v>0</v>
      </c>
      <c r="I558" s="3" t="str">
        <f t="shared" ref="I558" si="975">IF(B560,CONCATENATE(C558,D558," ",E558,F558,G558),"")</f>
        <v/>
      </c>
    </row>
    <row r="559" spans="2:9" hidden="1" x14ac:dyDescent="0.25">
      <c r="B559" s="102" t="str">
        <f>LOOKUP(B557,INICIO!A$10:A$109,INICIO!L$10:L$109)</f>
        <v/>
      </c>
      <c r="C559" s="72" t="s">
        <v>109</v>
      </c>
      <c r="D559" s="73"/>
      <c r="E559" s="73"/>
      <c r="F559" s="73"/>
      <c r="G559" s="76"/>
      <c r="H559" s="104">
        <f t="shared" si="896"/>
        <v>0</v>
      </c>
      <c r="I559" s="3" t="str">
        <f t="shared" ref="I559" si="976">IF(B560,CONCATENATE(C559,D559," ",E559,F559,G559),"")</f>
        <v/>
      </c>
    </row>
    <row r="560" spans="2:9" hidden="1" x14ac:dyDescent="0.25">
      <c r="B560" s="102">
        <f>LOOKUP(B557,INICIO!A$10:A$109,INICIO!J$10:J$109)</f>
        <v>0</v>
      </c>
      <c r="C560" s="72" t="s">
        <v>110</v>
      </c>
      <c r="D560" s="73" t="str">
        <f t="shared" ref="D560" si="977">CONCATENATE(E557,F557)</f>
        <v/>
      </c>
      <c r="E560" s="73" t="s">
        <v>73</v>
      </c>
      <c r="F560" s="73"/>
      <c r="G560" s="76"/>
      <c r="H560" s="104">
        <f t="shared" si="896"/>
        <v>0</v>
      </c>
      <c r="I560" s="3" t="str">
        <f t="shared" ref="I560" si="978">IF(B560,CONCATENATE(C560,D560," ",E560,F560,G560),"")</f>
        <v/>
      </c>
    </row>
    <row r="561" spans="2:9" hidden="1" x14ac:dyDescent="0.25">
      <c r="B561" s="102">
        <f>LOOKUP(B557,INICIO!A$10:A$109,INICIO!E$10:E$109)</f>
        <v>0</v>
      </c>
      <c r="C561" s="72" t="s">
        <v>111</v>
      </c>
      <c r="D561" s="73" t="str">
        <f t="shared" ref="D561" si="979">CONCATENATE(E557,F557)</f>
        <v/>
      </c>
      <c r="E561" s="73" t="s">
        <v>74</v>
      </c>
      <c r="F561" s="73"/>
      <c r="G561" s="76"/>
      <c r="H561" s="104">
        <f t="shared" si="896"/>
        <v>0</v>
      </c>
      <c r="I561" s="3" t="str">
        <f t="shared" ref="I561" si="980">IF(B560,CONCATENATE(C561,D561," ",E561,F561,G561),"")</f>
        <v/>
      </c>
    </row>
    <row r="562" spans="2:9" hidden="1" x14ac:dyDescent="0.25">
      <c r="B562" s="103"/>
      <c r="C562" s="74" t="s">
        <v>112</v>
      </c>
      <c r="D562" s="40"/>
      <c r="E562" s="40"/>
      <c r="F562" s="40"/>
      <c r="G562" s="77"/>
      <c r="H562" s="104">
        <f t="shared" si="896"/>
        <v>0</v>
      </c>
      <c r="I562" s="3" t="str">
        <f t="shared" ref="I562" si="981">IF(B560,CONCATENATE(C562,D562," ",E562,F562,G562),"")</f>
        <v/>
      </c>
    </row>
    <row r="563" spans="2:9" hidden="1" x14ac:dyDescent="0.25">
      <c r="H563" s="104">
        <f t="shared" si="896"/>
        <v>0</v>
      </c>
      <c r="I563" s="3" t="str">
        <f t="shared" ref="I563" si="982">IF(ISTEXT(B568),CONCATENATE("    // ",B568),"")</f>
        <v/>
      </c>
    </row>
    <row r="564" spans="2:9" hidden="1" x14ac:dyDescent="0.25">
      <c r="B564" s="101">
        <v>81</v>
      </c>
      <c r="C564" s="70" t="s">
        <v>107</v>
      </c>
      <c r="D564" s="71" t="str">
        <f t="shared" ref="D564" si="983">B566</f>
        <v/>
      </c>
      <c r="E564" s="71" t="str">
        <f t="shared" ref="E564" si="984">LOWER(E565)</f>
        <v/>
      </c>
      <c r="F564" s="71"/>
      <c r="G564" s="75" t="s">
        <v>72</v>
      </c>
      <c r="H564" s="104">
        <f t="shared" si="896"/>
        <v>0</v>
      </c>
      <c r="I564" s="3" t="str">
        <f t="shared" ref="I564" si="985">IF(B567,CONCATENATE(C564,D564," ",E564,F564,G564),"")</f>
        <v/>
      </c>
    </row>
    <row r="565" spans="2:9" hidden="1" x14ac:dyDescent="0.25">
      <c r="B565" s="102" t="str">
        <f>LOOKUP(B564,INICIO!A$10:A$109,INICIO!K$10:K$109)</f>
        <v/>
      </c>
      <c r="C565" s="72" t="s">
        <v>108</v>
      </c>
      <c r="D565" s="73" t="str">
        <f t="shared" ref="D565" si="986">B566</f>
        <v/>
      </c>
      <c r="E565" s="73" t="str">
        <f t="shared" ref="E565" si="987">B565</f>
        <v/>
      </c>
      <c r="F565" s="73"/>
      <c r="G565" s="76"/>
      <c r="H565" s="104">
        <f t="shared" si="896"/>
        <v>0</v>
      </c>
      <c r="I565" s="3" t="str">
        <f t="shared" ref="I565" si="988">IF(B567,CONCATENATE(C565,D565," ",E565,F565,G565),"")</f>
        <v/>
      </c>
    </row>
    <row r="566" spans="2:9" hidden="1" x14ac:dyDescent="0.25">
      <c r="B566" s="102" t="str">
        <f>LOOKUP(B564,INICIO!A$10:A$109,INICIO!L$10:L$109)</f>
        <v/>
      </c>
      <c r="C566" s="72" t="s">
        <v>109</v>
      </c>
      <c r="D566" s="73"/>
      <c r="E566" s="73"/>
      <c r="F566" s="73"/>
      <c r="G566" s="76"/>
      <c r="H566" s="104">
        <f t="shared" si="896"/>
        <v>0</v>
      </c>
      <c r="I566" s="3" t="str">
        <f t="shared" ref="I566" si="989">IF(B567,CONCATENATE(C566,D566," ",E566,F566,G566),"")</f>
        <v/>
      </c>
    </row>
    <row r="567" spans="2:9" hidden="1" x14ac:dyDescent="0.25">
      <c r="B567" s="102">
        <f>LOOKUP(B564,INICIO!A$10:A$109,INICIO!J$10:J$109)</f>
        <v>0</v>
      </c>
      <c r="C567" s="72" t="s">
        <v>110</v>
      </c>
      <c r="D567" s="73" t="str">
        <f t="shared" ref="D567" si="990">CONCATENATE(E564,F564)</f>
        <v/>
      </c>
      <c r="E567" s="73" t="s">
        <v>73</v>
      </c>
      <c r="F567" s="73"/>
      <c r="G567" s="76"/>
      <c r="H567" s="104">
        <f t="shared" si="896"/>
        <v>0</v>
      </c>
      <c r="I567" s="3" t="str">
        <f t="shared" ref="I567" si="991">IF(B567,CONCATENATE(C567,D567," ",E567,F567,G567),"")</f>
        <v/>
      </c>
    </row>
    <row r="568" spans="2:9" hidden="1" x14ac:dyDescent="0.25">
      <c r="B568" s="102">
        <f>LOOKUP(B564,INICIO!A$10:A$109,INICIO!E$10:E$109)</f>
        <v>0</v>
      </c>
      <c r="C568" s="72" t="s">
        <v>111</v>
      </c>
      <c r="D568" s="73" t="str">
        <f t="shared" ref="D568" si="992">CONCATENATE(E564,F564)</f>
        <v/>
      </c>
      <c r="E568" s="73" t="s">
        <v>74</v>
      </c>
      <c r="F568" s="73"/>
      <c r="G568" s="76"/>
      <c r="H568" s="104">
        <f t="shared" si="896"/>
        <v>0</v>
      </c>
      <c r="I568" s="3" t="str">
        <f t="shared" ref="I568" si="993">IF(B567,CONCATENATE(C568,D568," ",E568,F568,G568),"")</f>
        <v/>
      </c>
    </row>
    <row r="569" spans="2:9" hidden="1" x14ac:dyDescent="0.25">
      <c r="B569" s="103"/>
      <c r="C569" s="74" t="s">
        <v>112</v>
      </c>
      <c r="D569" s="40"/>
      <c r="E569" s="40"/>
      <c r="F569" s="40"/>
      <c r="G569" s="77"/>
      <c r="H569" s="104">
        <f t="shared" si="896"/>
        <v>0</v>
      </c>
      <c r="I569" s="3" t="str">
        <f t="shared" ref="I569" si="994">IF(B567,CONCATENATE(C569,D569," ",E569,F569,G569),"")</f>
        <v/>
      </c>
    </row>
    <row r="570" spans="2:9" hidden="1" x14ac:dyDescent="0.25">
      <c r="H570" s="104">
        <f t="shared" si="896"/>
        <v>0</v>
      </c>
      <c r="I570" s="3" t="str">
        <f t="shared" ref="I570" si="995">IF(ISTEXT(B575),CONCATENATE("    // ",B575),"")</f>
        <v/>
      </c>
    </row>
    <row r="571" spans="2:9" hidden="1" x14ac:dyDescent="0.25">
      <c r="B571" s="101">
        <v>82</v>
      </c>
      <c r="C571" s="70" t="s">
        <v>107</v>
      </c>
      <c r="D571" s="71" t="str">
        <f t="shared" ref="D571" si="996">B573</f>
        <v/>
      </c>
      <c r="E571" s="71" t="str">
        <f t="shared" ref="E571" si="997">LOWER(E572)</f>
        <v/>
      </c>
      <c r="F571" s="71"/>
      <c r="G571" s="75" t="s">
        <v>72</v>
      </c>
      <c r="H571" s="104">
        <f t="shared" si="896"/>
        <v>0</v>
      </c>
      <c r="I571" s="3" t="str">
        <f t="shared" ref="I571" si="998">IF(B574,CONCATENATE(C571,D571," ",E571,F571,G571),"")</f>
        <v/>
      </c>
    </row>
    <row r="572" spans="2:9" hidden="1" x14ac:dyDescent="0.25">
      <c r="B572" s="102" t="str">
        <f>LOOKUP(B571,INICIO!A$10:A$109,INICIO!K$10:K$109)</f>
        <v/>
      </c>
      <c r="C572" s="72" t="s">
        <v>108</v>
      </c>
      <c r="D572" s="73" t="str">
        <f t="shared" ref="D572" si="999">B573</f>
        <v/>
      </c>
      <c r="E572" s="73" t="str">
        <f t="shared" ref="E572" si="1000">B572</f>
        <v/>
      </c>
      <c r="F572" s="73"/>
      <c r="G572" s="76"/>
      <c r="H572" s="104">
        <f t="shared" si="896"/>
        <v>0</v>
      </c>
      <c r="I572" s="3" t="str">
        <f t="shared" ref="I572" si="1001">IF(B574,CONCATENATE(C572,D572," ",E572,F572,G572),"")</f>
        <v/>
      </c>
    </row>
    <row r="573" spans="2:9" hidden="1" x14ac:dyDescent="0.25">
      <c r="B573" s="102" t="str">
        <f>LOOKUP(B571,INICIO!A$10:A$109,INICIO!L$10:L$109)</f>
        <v/>
      </c>
      <c r="C573" s="72" t="s">
        <v>109</v>
      </c>
      <c r="D573" s="73"/>
      <c r="E573" s="73"/>
      <c r="F573" s="73"/>
      <c r="G573" s="76"/>
      <c r="H573" s="104">
        <f t="shared" si="896"/>
        <v>0</v>
      </c>
      <c r="I573" s="3" t="str">
        <f t="shared" ref="I573" si="1002">IF(B574,CONCATENATE(C573,D573," ",E573,F573,G573),"")</f>
        <v/>
      </c>
    </row>
    <row r="574" spans="2:9" hidden="1" x14ac:dyDescent="0.25">
      <c r="B574" s="102">
        <f>LOOKUP(B571,INICIO!A$10:A$109,INICIO!J$10:J$109)</f>
        <v>0</v>
      </c>
      <c r="C574" s="72" t="s">
        <v>110</v>
      </c>
      <c r="D574" s="73" t="str">
        <f t="shared" ref="D574" si="1003">CONCATENATE(E571,F571)</f>
        <v/>
      </c>
      <c r="E574" s="73" t="s">
        <v>73</v>
      </c>
      <c r="F574" s="73"/>
      <c r="G574" s="76"/>
      <c r="H574" s="104">
        <f t="shared" si="896"/>
        <v>0</v>
      </c>
      <c r="I574" s="3" t="str">
        <f t="shared" ref="I574" si="1004">IF(B574,CONCATENATE(C574,D574," ",E574,F574,G574),"")</f>
        <v/>
      </c>
    </row>
    <row r="575" spans="2:9" hidden="1" x14ac:dyDescent="0.25">
      <c r="B575" s="102">
        <f>LOOKUP(B571,INICIO!A$10:A$109,INICIO!E$10:E$109)</f>
        <v>0</v>
      </c>
      <c r="C575" s="72" t="s">
        <v>111</v>
      </c>
      <c r="D575" s="73" t="str">
        <f t="shared" ref="D575" si="1005">CONCATENATE(E571,F571)</f>
        <v/>
      </c>
      <c r="E575" s="73" t="s">
        <v>74</v>
      </c>
      <c r="F575" s="73"/>
      <c r="G575" s="76"/>
      <c r="H575" s="104">
        <f t="shared" si="896"/>
        <v>0</v>
      </c>
      <c r="I575" s="3" t="str">
        <f t="shared" ref="I575" si="1006">IF(B574,CONCATENATE(C575,D575," ",E575,F575,G575),"")</f>
        <v/>
      </c>
    </row>
    <row r="576" spans="2:9" hidden="1" x14ac:dyDescent="0.25">
      <c r="B576" s="103"/>
      <c r="C576" s="74" t="s">
        <v>112</v>
      </c>
      <c r="D576" s="40"/>
      <c r="E576" s="40"/>
      <c r="F576" s="40"/>
      <c r="G576" s="77"/>
      <c r="H576" s="104">
        <f t="shared" si="896"/>
        <v>0</v>
      </c>
      <c r="I576" s="3" t="str">
        <f t="shared" ref="I576" si="1007">IF(B574,CONCATENATE(C576,D576," ",E576,F576,G576),"")</f>
        <v/>
      </c>
    </row>
    <row r="577" spans="2:9" hidden="1" x14ac:dyDescent="0.25">
      <c r="H577" s="104">
        <f t="shared" si="896"/>
        <v>0</v>
      </c>
      <c r="I577" s="3" t="str">
        <f t="shared" ref="I577" si="1008">IF(ISTEXT(B582),CONCATENATE("    // ",B582),"")</f>
        <v/>
      </c>
    </row>
    <row r="578" spans="2:9" hidden="1" x14ac:dyDescent="0.25">
      <c r="B578" s="101">
        <v>83</v>
      </c>
      <c r="C578" s="70" t="s">
        <v>107</v>
      </c>
      <c r="D578" s="71" t="str">
        <f t="shared" ref="D578" si="1009">B580</f>
        <v/>
      </c>
      <c r="E578" s="71" t="str">
        <f t="shared" ref="E578" si="1010">LOWER(E579)</f>
        <v/>
      </c>
      <c r="F578" s="71"/>
      <c r="G578" s="75" t="s">
        <v>72</v>
      </c>
      <c r="H578" s="104">
        <f t="shared" si="896"/>
        <v>0</v>
      </c>
      <c r="I578" s="3" t="str">
        <f t="shared" ref="I578" si="1011">IF(B581,CONCATENATE(C578,D578," ",E578,F578,G578),"")</f>
        <v/>
      </c>
    </row>
    <row r="579" spans="2:9" hidden="1" x14ac:dyDescent="0.25">
      <c r="B579" s="102" t="str">
        <f>LOOKUP(B578,INICIO!A$10:A$109,INICIO!K$10:K$109)</f>
        <v/>
      </c>
      <c r="C579" s="72" t="s">
        <v>108</v>
      </c>
      <c r="D579" s="73" t="str">
        <f t="shared" ref="D579" si="1012">B580</f>
        <v/>
      </c>
      <c r="E579" s="73" t="str">
        <f t="shared" ref="E579" si="1013">B579</f>
        <v/>
      </c>
      <c r="F579" s="73"/>
      <c r="G579" s="76"/>
      <c r="H579" s="104">
        <f t="shared" si="896"/>
        <v>0</v>
      </c>
      <c r="I579" s="3" t="str">
        <f t="shared" ref="I579" si="1014">IF(B581,CONCATENATE(C579,D579," ",E579,F579,G579),"")</f>
        <v/>
      </c>
    </row>
    <row r="580" spans="2:9" hidden="1" x14ac:dyDescent="0.25">
      <c r="B580" s="102" t="str">
        <f>LOOKUP(B578,INICIO!A$10:A$109,INICIO!L$10:L$109)</f>
        <v/>
      </c>
      <c r="C580" s="72" t="s">
        <v>109</v>
      </c>
      <c r="D580" s="73"/>
      <c r="E580" s="73"/>
      <c r="F580" s="73"/>
      <c r="G580" s="76"/>
      <c r="H580" s="104">
        <f t="shared" ref="H580:H643" si="1015">IF(I580&lt;&gt;"",1,0)</f>
        <v>0</v>
      </c>
      <c r="I580" s="3" t="str">
        <f t="shared" ref="I580" si="1016">IF(B581,CONCATENATE(C580,D580," ",E580,F580,G580),"")</f>
        <v/>
      </c>
    </row>
    <row r="581" spans="2:9" hidden="1" x14ac:dyDescent="0.25">
      <c r="B581" s="102">
        <f>LOOKUP(B578,INICIO!A$10:A$109,INICIO!J$10:J$109)</f>
        <v>0</v>
      </c>
      <c r="C581" s="72" t="s">
        <v>110</v>
      </c>
      <c r="D581" s="73" t="str">
        <f t="shared" ref="D581" si="1017">CONCATENATE(E578,F578)</f>
        <v/>
      </c>
      <c r="E581" s="73" t="s">
        <v>73</v>
      </c>
      <c r="F581" s="73"/>
      <c r="G581" s="76"/>
      <c r="H581" s="104">
        <f t="shared" si="1015"/>
        <v>0</v>
      </c>
      <c r="I581" s="3" t="str">
        <f t="shared" ref="I581" si="1018">IF(B581,CONCATENATE(C581,D581," ",E581,F581,G581),"")</f>
        <v/>
      </c>
    </row>
    <row r="582" spans="2:9" hidden="1" x14ac:dyDescent="0.25">
      <c r="B582" s="102">
        <f>LOOKUP(B578,INICIO!A$10:A$109,INICIO!E$10:E$109)</f>
        <v>0</v>
      </c>
      <c r="C582" s="72" t="s">
        <v>111</v>
      </c>
      <c r="D582" s="73" t="str">
        <f t="shared" ref="D582" si="1019">CONCATENATE(E578,F578)</f>
        <v/>
      </c>
      <c r="E582" s="73" t="s">
        <v>74</v>
      </c>
      <c r="F582" s="73"/>
      <c r="G582" s="76"/>
      <c r="H582" s="104">
        <f t="shared" si="1015"/>
        <v>0</v>
      </c>
      <c r="I582" s="3" t="str">
        <f t="shared" ref="I582" si="1020">IF(B581,CONCATENATE(C582,D582," ",E582,F582,G582),"")</f>
        <v/>
      </c>
    </row>
    <row r="583" spans="2:9" hidden="1" x14ac:dyDescent="0.25">
      <c r="B583" s="103"/>
      <c r="C583" s="74" t="s">
        <v>112</v>
      </c>
      <c r="D583" s="40"/>
      <c r="E583" s="40"/>
      <c r="F583" s="40"/>
      <c r="G583" s="77"/>
      <c r="H583" s="104">
        <f t="shared" si="1015"/>
        <v>0</v>
      </c>
      <c r="I583" s="3" t="str">
        <f t="shared" ref="I583" si="1021">IF(B581,CONCATENATE(C583,D583," ",E583,F583,G583),"")</f>
        <v/>
      </c>
    </row>
    <row r="584" spans="2:9" hidden="1" x14ac:dyDescent="0.25">
      <c r="H584" s="104">
        <f t="shared" si="1015"/>
        <v>0</v>
      </c>
      <c r="I584" s="3" t="str">
        <f t="shared" ref="I584" si="1022">IF(ISTEXT(B589),CONCATENATE("    // ",B589),"")</f>
        <v/>
      </c>
    </row>
    <row r="585" spans="2:9" hidden="1" x14ac:dyDescent="0.25">
      <c r="B585" s="101">
        <v>84</v>
      </c>
      <c r="C585" s="70" t="s">
        <v>107</v>
      </c>
      <c r="D585" s="71" t="str">
        <f t="shared" ref="D585" si="1023">B587</f>
        <v/>
      </c>
      <c r="E585" s="71" t="str">
        <f t="shared" ref="E585" si="1024">LOWER(E586)</f>
        <v/>
      </c>
      <c r="F585" s="71"/>
      <c r="G585" s="75" t="s">
        <v>72</v>
      </c>
      <c r="H585" s="104">
        <f t="shared" si="1015"/>
        <v>0</v>
      </c>
      <c r="I585" s="3" t="str">
        <f t="shared" ref="I585" si="1025">IF(B588,CONCATENATE(C585,D585," ",E585,F585,G585),"")</f>
        <v/>
      </c>
    </row>
    <row r="586" spans="2:9" hidden="1" x14ac:dyDescent="0.25">
      <c r="B586" s="102" t="str">
        <f>LOOKUP(B585,INICIO!A$10:A$109,INICIO!K$10:K$109)</f>
        <v/>
      </c>
      <c r="C586" s="72" t="s">
        <v>108</v>
      </c>
      <c r="D586" s="73" t="str">
        <f t="shared" ref="D586" si="1026">B587</f>
        <v/>
      </c>
      <c r="E586" s="73" t="str">
        <f t="shared" ref="E586" si="1027">B586</f>
        <v/>
      </c>
      <c r="F586" s="73"/>
      <c r="G586" s="76"/>
      <c r="H586" s="104">
        <f t="shared" si="1015"/>
        <v>0</v>
      </c>
      <c r="I586" s="3" t="str">
        <f t="shared" ref="I586" si="1028">IF(B588,CONCATENATE(C586,D586," ",E586,F586,G586),"")</f>
        <v/>
      </c>
    </row>
    <row r="587" spans="2:9" hidden="1" x14ac:dyDescent="0.25">
      <c r="B587" s="102" t="str">
        <f>LOOKUP(B585,INICIO!A$10:A$109,INICIO!L$10:L$109)</f>
        <v/>
      </c>
      <c r="C587" s="72" t="s">
        <v>109</v>
      </c>
      <c r="D587" s="73"/>
      <c r="E587" s="73"/>
      <c r="F587" s="73"/>
      <c r="G587" s="76"/>
      <c r="H587" s="104">
        <f t="shared" si="1015"/>
        <v>0</v>
      </c>
      <c r="I587" s="3" t="str">
        <f t="shared" ref="I587" si="1029">IF(B588,CONCATENATE(C587,D587," ",E587,F587,G587),"")</f>
        <v/>
      </c>
    </row>
    <row r="588" spans="2:9" hidden="1" x14ac:dyDescent="0.25">
      <c r="B588" s="102">
        <f>LOOKUP(B585,INICIO!A$10:A$109,INICIO!J$10:J$109)</f>
        <v>0</v>
      </c>
      <c r="C588" s="72" t="s">
        <v>110</v>
      </c>
      <c r="D588" s="73" t="str">
        <f t="shared" ref="D588" si="1030">CONCATENATE(E585,F585)</f>
        <v/>
      </c>
      <c r="E588" s="73" t="s">
        <v>73</v>
      </c>
      <c r="F588" s="73"/>
      <c r="G588" s="76"/>
      <c r="H588" s="104">
        <f t="shared" si="1015"/>
        <v>0</v>
      </c>
      <c r="I588" s="3" t="str">
        <f t="shared" ref="I588" si="1031">IF(B588,CONCATENATE(C588,D588," ",E588,F588,G588),"")</f>
        <v/>
      </c>
    </row>
    <row r="589" spans="2:9" hidden="1" x14ac:dyDescent="0.25">
      <c r="B589" s="102">
        <f>LOOKUP(B585,INICIO!A$10:A$109,INICIO!E$10:E$109)</f>
        <v>0</v>
      </c>
      <c r="C589" s="72" t="s">
        <v>111</v>
      </c>
      <c r="D589" s="73" t="str">
        <f t="shared" ref="D589" si="1032">CONCATENATE(E585,F585)</f>
        <v/>
      </c>
      <c r="E589" s="73" t="s">
        <v>74</v>
      </c>
      <c r="F589" s="73"/>
      <c r="G589" s="76"/>
      <c r="H589" s="104">
        <f t="shared" si="1015"/>
        <v>0</v>
      </c>
      <c r="I589" s="3" t="str">
        <f t="shared" ref="I589" si="1033">IF(B588,CONCATENATE(C589,D589," ",E589,F589,G589),"")</f>
        <v/>
      </c>
    </row>
    <row r="590" spans="2:9" hidden="1" x14ac:dyDescent="0.25">
      <c r="B590" s="103"/>
      <c r="C590" s="74" t="s">
        <v>112</v>
      </c>
      <c r="D590" s="40"/>
      <c r="E590" s="40"/>
      <c r="F590" s="40"/>
      <c r="G590" s="77"/>
      <c r="H590" s="104">
        <f t="shared" si="1015"/>
        <v>0</v>
      </c>
      <c r="I590" s="3" t="str">
        <f t="shared" ref="I590" si="1034">IF(B588,CONCATENATE(C590,D590," ",E590,F590,G590),"")</f>
        <v/>
      </c>
    </row>
    <row r="591" spans="2:9" hidden="1" x14ac:dyDescent="0.25">
      <c r="H591" s="104">
        <f t="shared" si="1015"/>
        <v>0</v>
      </c>
      <c r="I591" s="3" t="str">
        <f t="shared" ref="I591" si="1035">IF(ISTEXT(B596),CONCATENATE("    // ",B596),"")</f>
        <v/>
      </c>
    </row>
    <row r="592" spans="2:9" hidden="1" x14ac:dyDescent="0.25">
      <c r="B592" s="101">
        <v>85</v>
      </c>
      <c r="C592" s="70" t="s">
        <v>107</v>
      </c>
      <c r="D592" s="71" t="str">
        <f t="shared" ref="D592" si="1036">B594</f>
        <v/>
      </c>
      <c r="E592" s="71" t="str">
        <f t="shared" ref="E592" si="1037">LOWER(E593)</f>
        <v/>
      </c>
      <c r="F592" s="71"/>
      <c r="G592" s="75" t="s">
        <v>72</v>
      </c>
      <c r="H592" s="104">
        <f t="shared" si="1015"/>
        <v>0</v>
      </c>
      <c r="I592" s="3" t="str">
        <f t="shared" ref="I592" si="1038">IF(B595,CONCATENATE(C592,D592," ",E592,F592,G592),"")</f>
        <v/>
      </c>
    </row>
    <row r="593" spans="2:9" hidden="1" x14ac:dyDescent="0.25">
      <c r="B593" s="102" t="str">
        <f>LOOKUP(B592,INICIO!A$10:A$109,INICIO!K$10:K$109)</f>
        <v/>
      </c>
      <c r="C593" s="72" t="s">
        <v>108</v>
      </c>
      <c r="D593" s="73" t="str">
        <f t="shared" ref="D593" si="1039">B594</f>
        <v/>
      </c>
      <c r="E593" s="73" t="str">
        <f t="shared" ref="E593" si="1040">B593</f>
        <v/>
      </c>
      <c r="F593" s="73"/>
      <c r="G593" s="76"/>
      <c r="H593" s="104">
        <f t="shared" si="1015"/>
        <v>0</v>
      </c>
      <c r="I593" s="3" t="str">
        <f t="shared" ref="I593" si="1041">IF(B595,CONCATENATE(C593,D593," ",E593,F593,G593),"")</f>
        <v/>
      </c>
    </row>
    <row r="594" spans="2:9" hidden="1" x14ac:dyDescent="0.25">
      <c r="B594" s="102" t="str">
        <f>LOOKUP(B592,INICIO!A$10:A$109,INICIO!L$10:L$109)</f>
        <v/>
      </c>
      <c r="C594" s="72" t="s">
        <v>109</v>
      </c>
      <c r="D594" s="73"/>
      <c r="E594" s="73"/>
      <c r="F594" s="73"/>
      <c r="G594" s="76"/>
      <c r="H594" s="104">
        <f t="shared" si="1015"/>
        <v>0</v>
      </c>
      <c r="I594" s="3" t="str">
        <f t="shared" ref="I594" si="1042">IF(B595,CONCATENATE(C594,D594," ",E594,F594,G594),"")</f>
        <v/>
      </c>
    </row>
    <row r="595" spans="2:9" hidden="1" x14ac:dyDescent="0.25">
      <c r="B595" s="102">
        <f>LOOKUP(B592,INICIO!A$10:A$109,INICIO!J$10:J$109)</f>
        <v>0</v>
      </c>
      <c r="C595" s="72" t="s">
        <v>110</v>
      </c>
      <c r="D595" s="73" t="str">
        <f t="shared" ref="D595" si="1043">CONCATENATE(E592,F592)</f>
        <v/>
      </c>
      <c r="E595" s="73" t="s">
        <v>73</v>
      </c>
      <c r="F595" s="73"/>
      <c r="G595" s="76"/>
      <c r="H595" s="104">
        <f t="shared" si="1015"/>
        <v>0</v>
      </c>
      <c r="I595" s="3" t="str">
        <f t="shared" ref="I595" si="1044">IF(B595,CONCATENATE(C595,D595," ",E595,F595,G595),"")</f>
        <v/>
      </c>
    </row>
    <row r="596" spans="2:9" hidden="1" x14ac:dyDescent="0.25">
      <c r="B596" s="102">
        <f>LOOKUP(B592,INICIO!A$10:A$109,INICIO!E$10:E$109)</f>
        <v>0</v>
      </c>
      <c r="C596" s="72" t="s">
        <v>111</v>
      </c>
      <c r="D596" s="73" t="str">
        <f t="shared" ref="D596" si="1045">CONCATENATE(E592,F592)</f>
        <v/>
      </c>
      <c r="E596" s="73" t="s">
        <v>74</v>
      </c>
      <c r="F596" s="73"/>
      <c r="G596" s="76"/>
      <c r="H596" s="104">
        <f t="shared" si="1015"/>
        <v>0</v>
      </c>
      <c r="I596" s="3" t="str">
        <f t="shared" ref="I596" si="1046">IF(B595,CONCATENATE(C596,D596," ",E596,F596,G596),"")</f>
        <v/>
      </c>
    </row>
    <row r="597" spans="2:9" hidden="1" x14ac:dyDescent="0.25">
      <c r="B597" s="103"/>
      <c r="C597" s="74" t="s">
        <v>112</v>
      </c>
      <c r="D597" s="40"/>
      <c r="E597" s="40"/>
      <c r="F597" s="40"/>
      <c r="G597" s="77"/>
      <c r="H597" s="104">
        <f t="shared" si="1015"/>
        <v>0</v>
      </c>
      <c r="I597" s="3" t="str">
        <f t="shared" ref="I597" si="1047">IF(B595,CONCATENATE(C597,D597," ",E597,F597,G597),"")</f>
        <v/>
      </c>
    </row>
    <row r="598" spans="2:9" hidden="1" x14ac:dyDescent="0.25">
      <c r="H598" s="104">
        <f t="shared" si="1015"/>
        <v>0</v>
      </c>
      <c r="I598" s="3" t="str">
        <f t="shared" ref="I598" si="1048">IF(ISTEXT(B603),CONCATENATE("    // ",B603),"")</f>
        <v/>
      </c>
    </row>
    <row r="599" spans="2:9" hidden="1" x14ac:dyDescent="0.25">
      <c r="B599" s="101">
        <v>86</v>
      </c>
      <c r="C599" s="70" t="s">
        <v>107</v>
      </c>
      <c r="D599" s="71" t="str">
        <f t="shared" ref="D599" si="1049">B601</f>
        <v/>
      </c>
      <c r="E599" s="71" t="str">
        <f t="shared" ref="E599" si="1050">LOWER(E600)</f>
        <v/>
      </c>
      <c r="F599" s="71"/>
      <c r="G599" s="75" t="s">
        <v>72</v>
      </c>
      <c r="H599" s="104">
        <f t="shared" si="1015"/>
        <v>0</v>
      </c>
      <c r="I599" s="3" t="str">
        <f t="shared" ref="I599" si="1051">IF(B602,CONCATENATE(C599,D599," ",E599,F599,G599),"")</f>
        <v/>
      </c>
    </row>
    <row r="600" spans="2:9" hidden="1" x14ac:dyDescent="0.25">
      <c r="B600" s="102" t="str">
        <f>LOOKUP(B599,INICIO!A$10:A$109,INICIO!K$10:K$109)</f>
        <v/>
      </c>
      <c r="C600" s="72" t="s">
        <v>108</v>
      </c>
      <c r="D600" s="73" t="str">
        <f t="shared" ref="D600" si="1052">B601</f>
        <v/>
      </c>
      <c r="E600" s="73" t="str">
        <f t="shared" ref="E600" si="1053">B600</f>
        <v/>
      </c>
      <c r="F600" s="73"/>
      <c r="G600" s="76"/>
      <c r="H600" s="104">
        <f t="shared" si="1015"/>
        <v>0</v>
      </c>
      <c r="I600" s="3" t="str">
        <f t="shared" ref="I600" si="1054">IF(B602,CONCATENATE(C600,D600," ",E600,F600,G600),"")</f>
        <v/>
      </c>
    </row>
    <row r="601" spans="2:9" hidden="1" x14ac:dyDescent="0.25">
      <c r="B601" s="102" t="str">
        <f>LOOKUP(B599,INICIO!A$10:A$109,INICIO!L$10:L$109)</f>
        <v/>
      </c>
      <c r="C601" s="72" t="s">
        <v>109</v>
      </c>
      <c r="D601" s="73"/>
      <c r="E601" s="73"/>
      <c r="F601" s="73"/>
      <c r="G601" s="76"/>
      <c r="H601" s="104">
        <f t="shared" si="1015"/>
        <v>0</v>
      </c>
      <c r="I601" s="3" t="str">
        <f t="shared" ref="I601" si="1055">IF(B602,CONCATENATE(C601,D601," ",E601,F601,G601),"")</f>
        <v/>
      </c>
    </row>
    <row r="602" spans="2:9" hidden="1" x14ac:dyDescent="0.25">
      <c r="B602" s="102">
        <f>LOOKUP(B599,INICIO!A$10:A$109,INICIO!J$10:J$109)</f>
        <v>0</v>
      </c>
      <c r="C602" s="72" t="s">
        <v>110</v>
      </c>
      <c r="D602" s="73" t="str">
        <f t="shared" ref="D602" si="1056">CONCATENATE(E599,F599)</f>
        <v/>
      </c>
      <c r="E602" s="73" t="s">
        <v>73</v>
      </c>
      <c r="F602" s="73"/>
      <c r="G602" s="76"/>
      <c r="H602" s="104">
        <f t="shared" si="1015"/>
        <v>0</v>
      </c>
      <c r="I602" s="3" t="str">
        <f t="shared" ref="I602" si="1057">IF(B602,CONCATENATE(C602,D602," ",E602,F602,G602),"")</f>
        <v/>
      </c>
    </row>
    <row r="603" spans="2:9" hidden="1" x14ac:dyDescent="0.25">
      <c r="B603" s="102">
        <f>LOOKUP(B599,INICIO!A$10:A$109,INICIO!E$10:E$109)</f>
        <v>0</v>
      </c>
      <c r="C603" s="72" t="s">
        <v>111</v>
      </c>
      <c r="D603" s="73" t="str">
        <f t="shared" ref="D603" si="1058">CONCATENATE(E599,F599)</f>
        <v/>
      </c>
      <c r="E603" s="73" t="s">
        <v>74</v>
      </c>
      <c r="F603" s="73"/>
      <c r="G603" s="76"/>
      <c r="H603" s="104">
        <f t="shared" si="1015"/>
        <v>0</v>
      </c>
      <c r="I603" s="3" t="str">
        <f t="shared" ref="I603" si="1059">IF(B602,CONCATENATE(C603,D603," ",E603,F603,G603),"")</f>
        <v/>
      </c>
    </row>
    <row r="604" spans="2:9" hidden="1" x14ac:dyDescent="0.25">
      <c r="B604" s="103"/>
      <c r="C604" s="74" t="s">
        <v>112</v>
      </c>
      <c r="D604" s="40"/>
      <c r="E604" s="40"/>
      <c r="F604" s="40"/>
      <c r="G604" s="77"/>
      <c r="H604" s="104">
        <f t="shared" si="1015"/>
        <v>0</v>
      </c>
      <c r="I604" s="3" t="str">
        <f t="shared" ref="I604" si="1060">IF(B602,CONCATENATE(C604,D604," ",E604,F604,G604),"")</f>
        <v/>
      </c>
    </row>
    <row r="605" spans="2:9" hidden="1" x14ac:dyDescent="0.25">
      <c r="H605" s="104">
        <f t="shared" si="1015"/>
        <v>0</v>
      </c>
      <c r="I605" s="3" t="str">
        <f t="shared" ref="I605" si="1061">IF(ISTEXT(B610),CONCATENATE("    // ",B610),"")</f>
        <v/>
      </c>
    </row>
    <row r="606" spans="2:9" hidden="1" x14ac:dyDescent="0.25">
      <c r="B606" s="101">
        <v>87</v>
      </c>
      <c r="C606" s="70" t="s">
        <v>107</v>
      </c>
      <c r="D606" s="71" t="str">
        <f t="shared" ref="D606" si="1062">B608</f>
        <v/>
      </c>
      <c r="E606" s="71" t="str">
        <f t="shared" ref="E606" si="1063">LOWER(E607)</f>
        <v/>
      </c>
      <c r="F606" s="71"/>
      <c r="G606" s="75" t="s">
        <v>72</v>
      </c>
      <c r="H606" s="104">
        <f t="shared" si="1015"/>
        <v>0</v>
      </c>
      <c r="I606" s="3" t="str">
        <f t="shared" ref="I606" si="1064">IF(B609,CONCATENATE(C606,D606," ",E606,F606,G606),"")</f>
        <v/>
      </c>
    </row>
    <row r="607" spans="2:9" hidden="1" x14ac:dyDescent="0.25">
      <c r="B607" s="102" t="str">
        <f>LOOKUP(B606,INICIO!A$10:A$109,INICIO!K$10:K$109)</f>
        <v/>
      </c>
      <c r="C607" s="72" t="s">
        <v>108</v>
      </c>
      <c r="D607" s="73" t="str">
        <f t="shared" ref="D607" si="1065">B608</f>
        <v/>
      </c>
      <c r="E607" s="73" t="str">
        <f t="shared" ref="E607" si="1066">B607</f>
        <v/>
      </c>
      <c r="F607" s="73"/>
      <c r="G607" s="76"/>
      <c r="H607" s="104">
        <f t="shared" si="1015"/>
        <v>0</v>
      </c>
      <c r="I607" s="3" t="str">
        <f t="shared" ref="I607" si="1067">IF(B609,CONCATENATE(C607,D607," ",E607,F607,G607),"")</f>
        <v/>
      </c>
    </row>
    <row r="608" spans="2:9" hidden="1" x14ac:dyDescent="0.25">
      <c r="B608" s="102" t="str">
        <f>LOOKUP(B606,INICIO!A$10:A$109,INICIO!L$10:L$109)</f>
        <v/>
      </c>
      <c r="C608" s="72" t="s">
        <v>109</v>
      </c>
      <c r="D608" s="73"/>
      <c r="E608" s="73"/>
      <c r="F608" s="73"/>
      <c r="G608" s="76"/>
      <c r="H608" s="104">
        <f t="shared" si="1015"/>
        <v>0</v>
      </c>
      <c r="I608" s="3" t="str">
        <f t="shared" ref="I608" si="1068">IF(B609,CONCATENATE(C608,D608," ",E608,F608,G608),"")</f>
        <v/>
      </c>
    </row>
    <row r="609" spans="2:9" hidden="1" x14ac:dyDescent="0.25">
      <c r="B609" s="102">
        <f>LOOKUP(B606,INICIO!A$10:A$109,INICIO!J$10:J$109)</f>
        <v>0</v>
      </c>
      <c r="C609" s="72" t="s">
        <v>110</v>
      </c>
      <c r="D609" s="73" t="str">
        <f t="shared" ref="D609" si="1069">CONCATENATE(E606,F606)</f>
        <v/>
      </c>
      <c r="E609" s="73" t="s">
        <v>73</v>
      </c>
      <c r="F609" s="73"/>
      <c r="G609" s="76"/>
      <c r="H609" s="104">
        <f t="shared" si="1015"/>
        <v>0</v>
      </c>
      <c r="I609" s="3" t="str">
        <f t="shared" ref="I609" si="1070">IF(B609,CONCATENATE(C609,D609," ",E609,F609,G609),"")</f>
        <v/>
      </c>
    </row>
    <row r="610" spans="2:9" hidden="1" x14ac:dyDescent="0.25">
      <c r="B610" s="102">
        <f>LOOKUP(B606,INICIO!A$10:A$109,INICIO!E$10:E$109)</f>
        <v>0</v>
      </c>
      <c r="C610" s="72" t="s">
        <v>111</v>
      </c>
      <c r="D610" s="73" t="str">
        <f t="shared" ref="D610" si="1071">CONCATENATE(E606,F606)</f>
        <v/>
      </c>
      <c r="E610" s="73" t="s">
        <v>74</v>
      </c>
      <c r="F610" s="73"/>
      <c r="G610" s="76"/>
      <c r="H610" s="104">
        <f t="shared" si="1015"/>
        <v>0</v>
      </c>
      <c r="I610" s="3" t="str">
        <f t="shared" ref="I610" si="1072">IF(B609,CONCATENATE(C610,D610," ",E610,F610,G610),"")</f>
        <v/>
      </c>
    </row>
    <row r="611" spans="2:9" hidden="1" x14ac:dyDescent="0.25">
      <c r="B611" s="103"/>
      <c r="C611" s="74" t="s">
        <v>112</v>
      </c>
      <c r="D611" s="40"/>
      <c r="E611" s="40"/>
      <c r="F611" s="40"/>
      <c r="G611" s="77"/>
      <c r="H611" s="104">
        <f t="shared" si="1015"/>
        <v>0</v>
      </c>
      <c r="I611" s="3" t="str">
        <f t="shared" ref="I611" si="1073">IF(B609,CONCATENATE(C611,D611," ",E611,F611,G611),"")</f>
        <v/>
      </c>
    </row>
    <row r="612" spans="2:9" hidden="1" x14ac:dyDescent="0.25">
      <c r="H612" s="104">
        <f t="shared" si="1015"/>
        <v>0</v>
      </c>
      <c r="I612" s="3" t="str">
        <f t="shared" ref="I612" si="1074">IF(ISTEXT(B617),CONCATENATE("    // ",B617),"")</f>
        <v/>
      </c>
    </row>
    <row r="613" spans="2:9" hidden="1" x14ac:dyDescent="0.25">
      <c r="B613" s="101">
        <v>88</v>
      </c>
      <c r="C613" s="70" t="s">
        <v>107</v>
      </c>
      <c r="D613" s="71" t="str">
        <f t="shared" ref="D613" si="1075">B615</f>
        <v/>
      </c>
      <c r="E613" s="71" t="str">
        <f t="shared" ref="E613" si="1076">LOWER(E614)</f>
        <v/>
      </c>
      <c r="F613" s="71"/>
      <c r="G613" s="75" t="s">
        <v>72</v>
      </c>
      <c r="H613" s="104">
        <f t="shared" si="1015"/>
        <v>0</v>
      </c>
      <c r="I613" s="3" t="str">
        <f t="shared" ref="I613" si="1077">IF(B616,CONCATENATE(C613,D613," ",E613,F613,G613),"")</f>
        <v/>
      </c>
    </row>
    <row r="614" spans="2:9" hidden="1" x14ac:dyDescent="0.25">
      <c r="B614" s="102" t="str">
        <f>LOOKUP(B613,INICIO!A$10:A$109,INICIO!K$10:K$109)</f>
        <v/>
      </c>
      <c r="C614" s="72" t="s">
        <v>108</v>
      </c>
      <c r="D614" s="73" t="str">
        <f t="shared" ref="D614" si="1078">B615</f>
        <v/>
      </c>
      <c r="E614" s="73" t="str">
        <f t="shared" ref="E614" si="1079">B614</f>
        <v/>
      </c>
      <c r="F614" s="73"/>
      <c r="G614" s="76"/>
      <c r="H614" s="104">
        <f t="shared" si="1015"/>
        <v>0</v>
      </c>
      <c r="I614" s="3" t="str">
        <f t="shared" ref="I614" si="1080">IF(B616,CONCATENATE(C614,D614," ",E614,F614,G614),"")</f>
        <v/>
      </c>
    </row>
    <row r="615" spans="2:9" hidden="1" x14ac:dyDescent="0.25">
      <c r="B615" s="102" t="str">
        <f>LOOKUP(B613,INICIO!A$10:A$109,INICIO!L$10:L$109)</f>
        <v/>
      </c>
      <c r="C615" s="72" t="s">
        <v>109</v>
      </c>
      <c r="D615" s="73"/>
      <c r="E615" s="73"/>
      <c r="F615" s="73"/>
      <c r="G615" s="76"/>
      <c r="H615" s="104">
        <f t="shared" si="1015"/>
        <v>0</v>
      </c>
      <c r="I615" s="3" t="str">
        <f t="shared" ref="I615" si="1081">IF(B616,CONCATENATE(C615,D615," ",E615,F615,G615),"")</f>
        <v/>
      </c>
    </row>
    <row r="616" spans="2:9" hidden="1" x14ac:dyDescent="0.25">
      <c r="B616" s="102">
        <f>LOOKUP(B613,INICIO!A$10:A$109,INICIO!J$10:J$109)</f>
        <v>0</v>
      </c>
      <c r="C616" s="72" t="s">
        <v>110</v>
      </c>
      <c r="D616" s="73" t="str">
        <f t="shared" ref="D616" si="1082">CONCATENATE(E613,F613)</f>
        <v/>
      </c>
      <c r="E616" s="73" t="s">
        <v>73</v>
      </c>
      <c r="F616" s="73"/>
      <c r="G616" s="76"/>
      <c r="H616" s="104">
        <f t="shared" si="1015"/>
        <v>0</v>
      </c>
      <c r="I616" s="3" t="str">
        <f t="shared" ref="I616" si="1083">IF(B616,CONCATENATE(C616,D616," ",E616,F616,G616),"")</f>
        <v/>
      </c>
    </row>
    <row r="617" spans="2:9" hidden="1" x14ac:dyDescent="0.25">
      <c r="B617" s="102">
        <f>LOOKUP(B613,INICIO!A$10:A$109,INICIO!E$10:E$109)</f>
        <v>0</v>
      </c>
      <c r="C617" s="72" t="s">
        <v>111</v>
      </c>
      <c r="D617" s="73" t="str">
        <f t="shared" ref="D617" si="1084">CONCATENATE(E613,F613)</f>
        <v/>
      </c>
      <c r="E617" s="73" t="s">
        <v>74</v>
      </c>
      <c r="F617" s="73"/>
      <c r="G617" s="76"/>
      <c r="H617" s="104">
        <f t="shared" si="1015"/>
        <v>0</v>
      </c>
      <c r="I617" s="3" t="str">
        <f t="shared" ref="I617" si="1085">IF(B616,CONCATENATE(C617,D617," ",E617,F617,G617),"")</f>
        <v/>
      </c>
    </row>
    <row r="618" spans="2:9" hidden="1" x14ac:dyDescent="0.25">
      <c r="B618" s="103"/>
      <c r="C618" s="74" t="s">
        <v>112</v>
      </c>
      <c r="D618" s="40"/>
      <c r="E618" s="40"/>
      <c r="F618" s="40"/>
      <c r="G618" s="77"/>
      <c r="H618" s="104">
        <f t="shared" si="1015"/>
        <v>0</v>
      </c>
      <c r="I618" s="3" t="str">
        <f t="shared" ref="I618" si="1086">IF(B616,CONCATENATE(C618,D618," ",E618,F618,G618),"")</f>
        <v/>
      </c>
    </row>
    <row r="619" spans="2:9" hidden="1" x14ac:dyDescent="0.25">
      <c r="H619" s="104">
        <f t="shared" si="1015"/>
        <v>0</v>
      </c>
      <c r="I619" s="3" t="str">
        <f t="shared" ref="I619" si="1087">IF(ISTEXT(B624),CONCATENATE("    // ",B624),"")</f>
        <v/>
      </c>
    </row>
    <row r="620" spans="2:9" hidden="1" x14ac:dyDescent="0.25">
      <c r="B620" s="101">
        <v>89</v>
      </c>
      <c r="C620" s="70" t="s">
        <v>107</v>
      </c>
      <c r="D620" s="71" t="str">
        <f t="shared" ref="D620" si="1088">B622</f>
        <v/>
      </c>
      <c r="E620" s="71" t="str">
        <f t="shared" ref="E620" si="1089">LOWER(E621)</f>
        <v/>
      </c>
      <c r="F620" s="71"/>
      <c r="G620" s="75" t="s">
        <v>72</v>
      </c>
      <c r="H620" s="104">
        <f t="shared" si="1015"/>
        <v>0</v>
      </c>
      <c r="I620" s="3" t="str">
        <f t="shared" ref="I620" si="1090">IF(B623,CONCATENATE(C620,D620," ",E620,F620,G620),"")</f>
        <v/>
      </c>
    </row>
    <row r="621" spans="2:9" hidden="1" x14ac:dyDescent="0.25">
      <c r="B621" s="102" t="str">
        <f>LOOKUP(B620,INICIO!A$10:A$109,INICIO!K$10:K$109)</f>
        <v/>
      </c>
      <c r="C621" s="72" t="s">
        <v>108</v>
      </c>
      <c r="D621" s="73" t="str">
        <f t="shared" ref="D621" si="1091">B622</f>
        <v/>
      </c>
      <c r="E621" s="73" t="str">
        <f t="shared" ref="E621" si="1092">B621</f>
        <v/>
      </c>
      <c r="F621" s="73"/>
      <c r="G621" s="76"/>
      <c r="H621" s="104">
        <f t="shared" si="1015"/>
        <v>0</v>
      </c>
      <c r="I621" s="3" t="str">
        <f t="shared" ref="I621" si="1093">IF(B623,CONCATENATE(C621,D621," ",E621,F621,G621),"")</f>
        <v/>
      </c>
    </row>
    <row r="622" spans="2:9" hidden="1" x14ac:dyDescent="0.25">
      <c r="B622" s="102" t="str">
        <f>LOOKUP(B620,INICIO!A$10:A$109,INICIO!L$10:L$109)</f>
        <v/>
      </c>
      <c r="C622" s="72" t="s">
        <v>109</v>
      </c>
      <c r="D622" s="73"/>
      <c r="E622" s="73"/>
      <c r="F622" s="73"/>
      <c r="G622" s="76"/>
      <c r="H622" s="104">
        <f t="shared" si="1015"/>
        <v>0</v>
      </c>
      <c r="I622" s="3" t="str">
        <f t="shared" ref="I622" si="1094">IF(B623,CONCATENATE(C622,D622," ",E622,F622,G622),"")</f>
        <v/>
      </c>
    </row>
    <row r="623" spans="2:9" hidden="1" x14ac:dyDescent="0.25">
      <c r="B623" s="102">
        <f>LOOKUP(B620,INICIO!A$10:A$109,INICIO!J$10:J$109)</f>
        <v>0</v>
      </c>
      <c r="C623" s="72" t="s">
        <v>110</v>
      </c>
      <c r="D623" s="73" t="str">
        <f t="shared" ref="D623" si="1095">CONCATENATE(E620,F620)</f>
        <v/>
      </c>
      <c r="E623" s="73" t="s">
        <v>73</v>
      </c>
      <c r="F623" s="73"/>
      <c r="G623" s="76"/>
      <c r="H623" s="104">
        <f t="shared" si="1015"/>
        <v>0</v>
      </c>
      <c r="I623" s="3" t="str">
        <f t="shared" ref="I623" si="1096">IF(B623,CONCATENATE(C623,D623," ",E623,F623,G623),"")</f>
        <v/>
      </c>
    </row>
    <row r="624" spans="2:9" hidden="1" x14ac:dyDescent="0.25">
      <c r="B624" s="102">
        <f>LOOKUP(B620,INICIO!A$10:A$109,INICIO!E$10:E$109)</f>
        <v>0</v>
      </c>
      <c r="C624" s="72" t="s">
        <v>111</v>
      </c>
      <c r="D624" s="73" t="str">
        <f t="shared" ref="D624" si="1097">CONCATENATE(E620,F620)</f>
        <v/>
      </c>
      <c r="E624" s="73" t="s">
        <v>74</v>
      </c>
      <c r="F624" s="73"/>
      <c r="G624" s="76"/>
      <c r="H624" s="104">
        <f t="shared" si="1015"/>
        <v>0</v>
      </c>
      <c r="I624" s="3" t="str">
        <f t="shared" ref="I624" si="1098">IF(B623,CONCATENATE(C624,D624," ",E624,F624,G624),"")</f>
        <v/>
      </c>
    </row>
    <row r="625" spans="2:9" hidden="1" x14ac:dyDescent="0.25">
      <c r="B625" s="103"/>
      <c r="C625" s="74" t="s">
        <v>112</v>
      </c>
      <c r="D625" s="40"/>
      <c r="E625" s="40"/>
      <c r="F625" s="40"/>
      <c r="G625" s="77"/>
      <c r="H625" s="104">
        <f t="shared" si="1015"/>
        <v>0</v>
      </c>
      <c r="I625" s="3" t="str">
        <f t="shared" ref="I625" si="1099">IF(B623,CONCATENATE(C625,D625," ",E625,F625,G625),"")</f>
        <v/>
      </c>
    </row>
    <row r="626" spans="2:9" hidden="1" x14ac:dyDescent="0.25">
      <c r="H626" s="104">
        <f t="shared" si="1015"/>
        <v>0</v>
      </c>
      <c r="I626" s="3" t="str">
        <f t="shared" ref="I626" si="1100">IF(ISTEXT(B631),CONCATENATE("    // ",B631),"")</f>
        <v/>
      </c>
    </row>
    <row r="627" spans="2:9" hidden="1" x14ac:dyDescent="0.25">
      <c r="B627" s="101">
        <v>90</v>
      </c>
      <c r="C627" s="70" t="s">
        <v>107</v>
      </c>
      <c r="D627" s="71" t="str">
        <f t="shared" ref="D627" si="1101">B629</f>
        <v/>
      </c>
      <c r="E627" s="71" t="str">
        <f t="shared" ref="E627" si="1102">LOWER(E628)</f>
        <v/>
      </c>
      <c r="F627" s="71"/>
      <c r="G627" s="75" t="s">
        <v>72</v>
      </c>
      <c r="H627" s="104">
        <f t="shared" si="1015"/>
        <v>0</v>
      </c>
      <c r="I627" s="3" t="str">
        <f t="shared" ref="I627" si="1103">IF(B630,CONCATENATE(C627,D627," ",E627,F627,G627),"")</f>
        <v/>
      </c>
    </row>
    <row r="628" spans="2:9" hidden="1" x14ac:dyDescent="0.25">
      <c r="B628" s="102" t="str">
        <f>LOOKUP(B627,INICIO!A$10:A$109,INICIO!K$10:K$109)</f>
        <v/>
      </c>
      <c r="C628" s="72" t="s">
        <v>108</v>
      </c>
      <c r="D628" s="73" t="str">
        <f t="shared" ref="D628" si="1104">B629</f>
        <v/>
      </c>
      <c r="E628" s="73" t="str">
        <f t="shared" ref="E628" si="1105">B628</f>
        <v/>
      </c>
      <c r="F628" s="73"/>
      <c r="G628" s="76"/>
      <c r="H628" s="104">
        <f t="shared" si="1015"/>
        <v>0</v>
      </c>
      <c r="I628" s="3" t="str">
        <f t="shared" ref="I628" si="1106">IF(B630,CONCATENATE(C628,D628," ",E628,F628,G628),"")</f>
        <v/>
      </c>
    </row>
    <row r="629" spans="2:9" hidden="1" x14ac:dyDescent="0.25">
      <c r="B629" s="102" t="str">
        <f>LOOKUP(B627,INICIO!A$10:A$109,INICIO!L$10:L$109)</f>
        <v/>
      </c>
      <c r="C629" s="72" t="s">
        <v>109</v>
      </c>
      <c r="D629" s="73"/>
      <c r="E629" s="73"/>
      <c r="F629" s="73"/>
      <c r="G629" s="76"/>
      <c r="H629" s="104">
        <f t="shared" si="1015"/>
        <v>0</v>
      </c>
      <c r="I629" s="3" t="str">
        <f t="shared" ref="I629" si="1107">IF(B630,CONCATENATE(C629,D629," ",E629,F629,G629),"")</f>
        <v/>
      </c>
    </row>
    <row r="630" spans="2:9" hidden="1" x14ac:dyDescent="0.25">
      <c r="B630" s="102">
        <f>LOOKUP(B627,INICIO!A$10:A$109,INICIO!J$10:J$109)</f>
        <v>0</v>
      </c>
      <c r="C630" s="72" t="s">
        <v>110</v>
      </c>
      <c r="D630" s="73" t="str">
        <f t="shared" ref="D630" si="1108">CONCATENATE(E627,F627)</f>
        <v/>
      </c>
      <c r="E630" s="73" t="s">
        <v>73</v>
      </c>
      <c r="F630" s="73"/>
      <c r="G630" s="76"/>
      <c r="H630" s="104">
        <f t="shared" si="1015"/>
        <v>0</v>
      </c>
      <c r="I630" s="3" t="str">
        <f t="shared" ref="I630" si="1109">IF(B630,CONCATENATE(C630,D630," ",E630,F630,G630),"")</f>
        <v/>
      </c>
    </row>
    <row r="631" spans="2:9" hidden="1" x14ac:dyDescent="0.25">
      <c r="B631" s="102">
        <f>LOOKUP(B627,INICIO!A$10:A$109,INICIO!E$10:E$109)</f>
        <v>0</v>
      </c>
      <c r="C631" s="72" t="s">
        <v>111</v>
      </c>
      <c r="D631" s="73" t="str">
        <f t="shared" ref="D631" si="1110">CONCATENATE(E627,F627)</f>
        <v/>
      </c>
      <c r="E631" s="73" t="s">
        <v>74</v>
      </c>
      <c r="F631" s="73"/>
      <c r="G631" s="76"/>
      <c r="H631" s="104">
        <f t="shared" si="1015"/>
        <v>0</v>
      </c>
      <c r="I631" s="3" t="str">
        <f t="shared" ref="I631" si="1111">IF(B630,CONCATENATE(C631,D631," ",E631,F631,G631),"")</f>
        <v/>
      </c>
    </row>
    <row r="632" spans="2:9" hidden="1" x14ac:dyDescent="0.25">
      <c r="B632" s="103"/>
      <c r="C632" s="74" t="s">
        <v>112</v>
      </c>
      <c r="D632" s="40"/>
      <c r="E632" s="40"/>
      <c r="F632" s="40"/>
      <c r="G632" s="77"/>
      <c r="H632" s="104">
        <f t="shared" si="1015"/>
        <v>0</v>
      </c>
      <c r="I632" s="3" t="str">
        <f t="shared" ref="I632" si="1112">IF(B630,CONCATENATE(C632,D632," ",E632,F632,G632),"")</f>
        <v/>
      </c>
    </row>
    <row r="633" spans="2:9" hidden="1" x14ac:dyDescent="0.25">
      <c r="H633" s="104">
        <f t="shared" si="1015"/>
        <v>0</v>
      </c>
      <c r="I633" s="3" t="str">
        <f t="shared" ref="I633" si="1113">IF(ISTEXT(B638),CONCATENATE("    // ",B638),"")</f>
        <v/>
      </c>
    </row>
    <row r="634" spans="2:9" hidden="1" x14ac:dyDescent="0.25">
      <c r="B634" s="101">
        <v>91</v>
      </c>
      <c r="C634" s="70" t="s">
        <v>107</v>
      </c>
      <c r="D634" s="71" t="str">
        <f t="shared" ref="D634" si="1114">B636</f>
        <v/>
      </c>
      <c r="E634" s="71" t="str">
        <f t="shared" ref="E634" si="1115">LOWER(E635)</f>
        <v/>
      </c>
      <c r="F634" s="71"/>
      <c r="G634" s="75" t="s">
        <v>72</v>
      </c>
      <c r="H634" s="104">
        <f t="shared" si="1015"/>
        <v>0</v>
      </c>
      <c r="I634" s="3" t="str">
        <f t="shared" ref="I634" si="1116">IF(B637,CONCATENATE(C634,D634," ",E634,F634,G634),"")</f>
        <v/>
      </c>
    </row>
    <row r="635" spans="2:9" hidden="1" x14ac:dyDescent="0.25">
      <c r="B635" s="102" t="str">
        <f>LOOKUP(B634,INICIO!A$10:A$109,INICIO!K$10:K$109)</f>
        <v/>
      </c>
      <c r="C635" s="72" t="s">
        <v>108</v>
      </c>
      <c r="D635" s="73" t="str">
        <f t="shared" ref="D635" si="1117">B636</f>
        <v/>
      </c>
      <c r="E635" s="73" t="str">
        <f t="shared" ref="E635" si="1118">B635</f>
        <v/>
      </c>
      <c r="F635" s="73"/>
      <c r="G635" s="76"/>
      <c r="H635" s="104">
        <f t="shared" si="1015"/>
        <v>0</v>
      </c>
      <c r="I635" s="3" t="str">
        <f t="shared" ref="I635" si="1119">IF(B637,CONCATENATE(C635,D635," ",E635,F635,G635),"")</f>
        <v/>
      </c>
    </row>
    <row r="636" spans="2:9" hidden="1" x14ac:dyDescent="0.25">
      <c r="B636" s="102" t="str">
        <f>LOOKUP(B634,INICIO!A$10:A$109,INICIO!L$10:L$109)</f>
        <v/>
      </c>
      <c r="C636" s="72" t="s">
        <v>109</v>
      </c>
      <c r="D636" s="73"/>
      <c r="E636" s="73"/>
      <c r="F636" s="73"/>
      <c r="G636" s="76"/>
      <c r="H636" s="104">
        <f t="shared" si="1015"/>
        <v>0</v>
      </c>
      <c r="I636" s="3" t="str">
        <f t="shared" ref="I636" si="1120">IF(B637,CONCATENATE(C636,D636," ",E636,F636,G636),"")</f>
        <v/>
      </c>
    </row>
    <row r="637" spans="2:9" hidden="1" x14ac:dyDescent="0.25">
      <c r="B637" s="102">
        <f>LOOKUP(B634,INICIO!A$10:A$109,INICIO!J$10:J$109)</f>
        <v>0</v>
      </c>
      <c r="C637" s="72" t="s">
        <v>110</v>
      </c>
      <c r="D637" s="73" t="str">
        <f t="shared" ref="D637" si="1121">CONCATENATE(E634,F634)</f>
        <v/>
      </c>
      <c r="E637" s="73" t="s">
        <v>73</v>
      </c>
      <c r="F637" s="73"/>
      <c r="G637" s="76"/>
      <c r="H637" s="104">
        <f t="shared" si="1015"/>
        <v>0</v>
      </c>
      <c r="I637" s="3" t="str">
        <f t="shared" ref="I637" si="1122">IF(B637,CONCATENATE(C637,D637," ",E637,F637,G637),"")</f>
        <v/>
      </c>
    </row>
    <row r="638" spans="2:9" hidden="1" x14ac:dyDescent="0.25">
      <c r="B638" s="102">
        <f>LOOKUP(B634,INICIO!A$10:A$109,INICIO!E$10:E$109)</f>
        <v>0</v>
      </c>
      <c r="C638" s="72" t="s">
        <v>111</v>
      </c>
      <c r="D638" s="73" t="str">
        <f t="shared" ref="D638" si="1123">CONCATENATE(E634,F634)</f>
        <v/>
      </c>
      <c r="E638" s="73" t="s">
        <v>74</v>
      </c>
      <c r="F638" s="73"/>
      <c r="G638" s="76"/>
      <c r="H638" s="104">
        <f t="shared" si="1015"/>
        <v>0</v>
      </c>
      <c r="I638" s="3" t="str">
        <f t="shared" ref="I638" si="1124">IF(B637,CONCATENATE(C638,D638," ",E638,F638,G638),"")</f>
        <v/>
      </c>
    </row>
    <row r="639" spans="2:9" hidden="1" x14ac:dyDescent="0.25">
      <c r="B639" s="103"/>
      <c r="C639" s="74" t="s">
        <v>112</v>
      </c>
      <c r="D639" s="40"/>
      <c r="E639" s="40"/>
      <c r="F639" s="40"/>
      <c r="G639" s="77"/>
      <c r="H639" s="104">
        <f t="shared" si="1015"/>
        <v>0</v>
      </c>
      <c r="I639" s="3" t="str">
        <f t="shared" ref="I639" si="1125">IF(B637,CONCATENATE(C639,D639," ",E639,F639,G639),"")</f>
        <v/>
      </c>
    </row>
    <row r="640" spans="2:9" hidden="1" x14ac:dyDescent="0.25">
      <c r="H640" s="104">
        <f t="shared" si="1015"/>
        <v>0</v>
      </c>
      <c r="I640" s="3" t="str">
        <f t="shared" ref="I640" si="1126">IF(ISTEXT(B645),CONCATENATE("    // ",B645),"")</f>
        <v/>
      </c>
    </row>
    <row r="641" spans="2:9" hidden="1" x14ac:dyDescent="0.25">
      <c r="B641" s="101">
        <v>92</v>
      </c>
      <c r="C641" s="70" t="s">
        <v>107</v>
      </c>
      <c r="D641" s="71" t="str">
        <f t="shared" ref="D641" si="1127">B643</f>
        <v/>
      </c>
      <c r="E641" s="71" t="str">
        <f t="shared" ref="E641" si="1128">LOWER(E642)</f>
        <v/>
      </c>
      <c r="F641" s="71"/>
      <c r="G641" s="75" t="s">
        <v>72</v>
      </c>
      <c r="H641" s="104">
        <f t="shared" si="1015"/>
        <v>0</v>
      </c>
      <c r="I641" s="3" t="str">
        <f t="shared" ref="I641" si="1129">IF(B644,CONCATENATE(C641,D641," ",E641,F641,G641),"")</f>
        <v/>
      </c>
    </row>
    <row r="642" spans="2:9" hidden="1" x14ac:dyDescent="0.25">
      <c r="B642" s="102" t="str">
        <f>LOOKUP(B641,INICIO!A$10:A$109,INICIO!K$10:K$109)</f>
        <v/>
      </c>
      <c r="C642" s="72" t="s">
        <v>108</v>
      </c>
      <c r="D642" s="73" t="str">
        <f t="shared" ref="D642" si="1130">B643</f>
        <v/>
      </c>
      <c r="E642" s="73" t="str">
        <f t="shared" ref="E642" si="1131">B642</f>
        <v/>
      </c>
      <c r="F642" s="73"/>
      <c r="G642" s="76"/>
      <c r="H642" s="104">
        <f t="shared" si="1015"/>
        <v>0</v>
      </c>
      <c r="I642" s="3" t="str">
        <f t="shared" ref="I642" si="1132">IF(B644,CONCATENATE(C642,D642," ",E642,F642,G642),"")</f>
        <v/>
      </c>
    </row>
    <row r="643" spans="2:9" hidden="1" x14ac:dyDescent="0.25">
      <c r="B643" s="102" t="str">
        <f>LOOKUP(B641,INICIO!A$10:A$109,INICIO!L$10:L$109)</f>
        <v/>
      </c>
      <c r="C643" s="72" t="s">
        <v>109</v>
      </c>
      <c r="D643" s="73"/>
      <c r="E643" s="73"/>
      <c r="F643" s="73"/>
      <c r="G643" s="76"/>
      <c r="H643" s="104">
        <f t="shared" si="1015"/>
        <v>0</v>
      </c>
      <c r="I643" s="3" t="str">
        <f t="shared" ref="I643" si="1133">IF(B644,CONCATENATE(C643,D643," ",E643,F643,G643),"")</f>
        <v/>
      </c>
    </row>
    <row r="644" spans="2:9" hidden="1" x14ac:dyDescent="0.25">
      <c r="B644" s="102">
        <f>LOOKUP(B641,INICIO!A$10:A$109,INICIO!J$10:J$109)</f>
        <v>0</v>
      </c>
      <c r="C644" s="72" t="s">
        <v>110</v>
      </c>
      <c r="D644" s="73" t="str">
        <f t="shared" ref="D644" si="1134">CONCATENATE(E641,F641)</f>
        <v/>
      </c>
      <c r="E644" s="73" t="s">
        <v>73</v>
      </c>
      <c r="F644" s="73"/>
      <c r="G644" s="76"/>
      <c r="H644" s="104">
        <f t="shared" ref="H644:H703" si="1135">IF(I644&lt;&gt;"",1,0)</f>
        <v>0</v>
      </c>
      <c r="I644" s="3" t="str">
        <f t="shared" ref="I644" si="1136">IF(B644,CONCATENATE(C644,D644," ",E644,F644,G644),"")</f>
        <v/>
      </c>
    </row>
    <row r="645" spans="2:9" hidden="1" x14ac:dyDescent="0.25">
      <c r="B645" s="102">
        <f>LOOKUP(B641,INICIO!A$10:A$109,INICIO!E$10:E$109)</f>
        <v>0</v>
      </c>
      <c r="C645" s="72" t="s">
        <v>111</v>
      </c>
      <c r="D645" s="73" t="str">
        <f t="shared" ref="D645" si="1137">CONCATENATE(E641,F641)</f>
        <v/>
      </c>
      <c r="E645" s="73" t="s">
        <v>74</v>
      </c>
      <c r="F645" s="73"/>
      <c r="G645" s="76"/>
      <c r="H645" s="104">
        <f t="shared" si="1135"/>
        <v>0</v>
      </c>
      <c r="I645" s="3" t="str">
        <f t="shared" ref="I645" si="1138">IF(B644,CONCATENATE(C645,D645," ",E645,F645,G645),"")</f>
        <v/>
      </c>
    </row>
    <row r="646" spans="2:9" hidden="1" x14ac:dyDescent="0.25">
      <c r="B646" s="103"/>
      <c r="C646" s="74" t="s">
        <v>112</v>
      </c>
      <c r="D646" s="40"/>
      <c r="E646" s="40"/>
      <c r="F646" s="40"/>
      <c r="G646" s="77"/>
      <c r="H646" s="104">
        <f t="shared" si="1135"/>
        <v>0</v>
      </c>
      <c r="I646" s="3" t="str">
        <f t="shared" ref="I646" si="1139">IF(B644,CONCATENATE(C646,D646," ",E646,F646,G646),"")</f>
        <v/>
      </c>
    </row>
    <row r="647" spans="2:9" hidden="1" x14ac:dyDescent="0.25">
      <c r="H647" s="104">
        <f t="shared" si="1135"/>
        <v>0</v>
      </c>
      <c r="I647" s="3" t="str">
        <f t="shared" ref="I647" si="1140">IF(ISTEXT(B652),CONCATENATE("    // ",B652),"")</f>
        <v/>
      </c>
    </row>
    <row r="648" spans="2:9" hidden="1" x14ac:dyDescent="0.25">
      <c r="B648" s="101">
        <v>93</v>
      </c>
      <c r="C648" s="70" t="s">
        <v>107</v>
      </c>
      <c r="D648" s="71" t="str">
        <f t="shared" ref="D648" si="1141">B650</f>
        <v/>
      </c>
      <c r="E648" s="71" t="str">
        <f t="shared" ref="E648" si="1142">LOWER(E649)</f>
        <v/>
      </c>
      <c r="F648" s="71"/>
      <c r="G648" s="75" t="s">
        <v>72</v>
      </c>
      <c r="H648" s="104">
        <f t="shared" si="1135"/>
        <v>0</v>
      </c>
      <c r="I648" s="3" t="str">
        <f t="shared" ref="I648" si="1143">IF(B651,CONCATENATE(C648,D648," ",E648,F648,G648),"")</f>
        <v/>
      </c>
    </row>
    <row r="649" spans="2:9" hidden="1" x14ac:dyDescent="0.25">
      <c r="B649" s="102" t="str">
        <f>LOOKUP(B648,INICIO!A$10:A$109,INICIO!K$10:K$109)</f>
        <v/>
      </c>
      <c r="C649" s="72" t="s">
        <v>108</v>
      </c>
      <c r="D649" s="73" t="str">
        <f t="shared" ref="D649" si="1144">B650</f>
        <v/>
      </c>
      <c r="E649" s="73" t="str">
        <f t="shared" ref="E649" si="1145">B649</f>
        <v/>
      </c>
      <c r="F649" s="73"/>
      <c r="G649" s="76"/>
      <c r="H649" s="104">
        <f t="shared" si="1135"/>
        <v>0</v>
      </c>
      <c r="I649" s="3" t="str">
        <f t="shared" ref="I649" si="1146">IF(B651,CONCATENATE(C649,D649," ",E649,F649,G649),"")</f>
        <v/>
      </c>
    </row>
    <row r="650" spans="2:9" hidden="1" x14ac:dyDescent="0.25">
      <c r="B650" s="102" t="str">
        <f>LOOKUP(B648,INICIO!A$10:A$109,INICIO!L$10:L$109)</f>
        <v/>
      </c>
      <c r="C650" s="72" t="s">
        <v>109</v>
      </c>
      <c r="D650" s="73"/>
      <c r="E650" s="73"/>
      <c r="F650" s="73"/>
      <c r="G650" s="76"/>
      <c r="H650" s="104">
        <f t="shared" si="1135"/>
        <v>0</v>
      </c>
      <c r="I650" s="3" t="str">
        <f t="shared" ref="I650" si="1147">IF(B651,CONCATENATE(C650,D650," ",E650,F650,G650),"")</f>
        <v/>
      </c>
    </row>
    <row r="651" spans="2:9" hidden="1" x14ac:dyDescent="0.25">
      <c r="B651" s="102">
        <f>LOOKUP(B648,INICIO!A$10:A$109,INICIO!J$10:J$109)</f>
        <v>0</v>
      </c>
      <c r="C651" s="72" t="s">
        <v>110</v>
      </c>
      <c r="D651" s="73" t="str">
        <f t="shared" ref="D651" si="1148">CONCATENATE(E648,F648)</f>
        <v/>
      </c>
      <c r="E651" s="73" t="s">
        <v>73</v>
      </c>
      <c r="F651" s="73"/>
      <c r="G651" s="76"/>
      <c r="H651" s="104">
        <f t="shared" si="1135"/>
        <v>0</v>
      </c>
      <c r="I651" s="3" t="str">
        <f t="shared" ref="I651" si="1149">IF(B651,CONCATENATE(C651,D651," ",E651,F651,G651),"")</f>
        <v/>
      </c>
    </row>
    <row r="652" spans="2:9" hidden="1" x14ac:dyDescent="0.25">
      <c r="B652" s="102">
        <f>LOOKUP(B648,INICIO!A$10:A$109,INICIO!E$10:E$109)</f>
        <v>0</v>
      </c>
      <c r="C652" s="72" t="s">
        <v>111</v>
      </c>
      <c r="D652" s="73" t="str">
        <f t="shared" ref="D652" si="1150">CONCATENATE(E648,F648)</f>
        <v/>
      </c>
      <c r="E652" s="73" t="s">
        <v>74</v>
      </c>
      <c r="F652" s="73"/>
      <c r="G652" s="76"/>
      <c r="H652" s="104">
        <f t="shared" si="1135"/>
        <v>0</v>
      </c>
      <c r="I652" s="3" t="str">
        <f t="shared" ref="I652" si="1151">IF(B651,CONCATENATE(C652,D652," ",E652,F652,G652),"")</f>
        <v/>
      </c>
    </row>
    <row r="653" spans="2:9" hidden="1" x14ac:dyDescent="0.25">
      <c r="B653" s="103"/>
      <c r="C653" s="74" t="s">
        <v>112</v>
      </c>
      <c r="D653" s="40"/>
      <c r="E653" s="40"/>
      <c r="F653" s="40"/>
      <c r="G653" s="77"/>
      <c r="H653" s="104">
        <f t="shared" si="1135"/>
        <v>0</v>
      </c>
      <c r="I653" s="3" t="str">
        <f t="shared" ref="I653" si="1152">IF(B651,CONCATENATE(C653,D653," ",E653,F653,G653),"")</f>
        <v/>
      </c>
    </row>
    <row r="654" spans="2:9" hidden="1" x14ac:dyDescent="0.25">
      <c r="H654" s="104">
        <f t="shared" si="1135"/>
        <v>0</v>
      </c>
      <c r="I654" s="3" t="str">
        <f t="shared" ref="I654" si="1153">IF(ISTEXT(B659),CONCATENATE("    // ",B659),"")</f>
        <v/>
      </c>
    </row>
    <row r="655" spans="2:9" hidden="1" x14ac:dyDescent="0.25">
      <c r="B655" s="101">
        <v>94</v>
      </c>
      <c r="C655" s="70" t="s">
        <v>107</v>
      </c>
      <c r="D655" s="71" t="str">
        <f t="shared" ref="D655" si="1154">B657</f>
        <v/>
      </c>
      <c r="E655" s="71" t="str">
        <f t="shared" ref="E655" si="1155">LOWER(E656)</f>
        <v/>
      </c>
      <c r="F655" s="71"/>
      <c r="G655" s="75" t="s">
        <v>72</v>
      </c>
      <c r="H655" s="104">
        <f t="shared" si="1135"/>
        <v>0</v>
      </c>
      <c r="I655" s="3" t="str">
        <f t="shared" ref="I655" si="1156">IF(B658,CONCATENATE(C655,D655," ",E655,F655,G655),"")</f>
        <v/>
      </c>
    </row>
    <row r="656" spans="2:9" hidden="1" x14ac:dyDescent="0.25">
      <c r="B656" s="102" t="str">
        <f>LOOKUP(B655,INICIO!A$10:A$109,INICIO!K$10:K$109)</f>
        <v/>
      </c>
      <c r="C656" s="72" t="s">
        <v>108</v>
      </c>
      <c r="D656" s="73" t="str">
        <f t="shared" ref="D656" si="1157">B657</f>
        <v/>
      </c>
      <c r="E656" s="73" t="str">
        <f t="shared" ref="E656" si="1158">B656</f>
        <v/>
      </c>
      <c r="F656" s="73"/>
      <c r="G656" s="76"/>
      <c r="H656" s="104">
        <f t="shared" si="1135"/>
        <v>0</v>
      </c>
      <c r="I656" s="3" t="str">
        <f t="shared" ref="I656" si="1159">IF(B658,CONCATENATE(C656,D656," ",E656,F656,G656),"")</f>
        <v/>
      </c>
    </row>
    <row r="657" spans="2:9" hidden="1" x14ac:dyDescent="0.25">
      <c r="B657" s="102" t="str">
        <f>LOOKUP(B655,INICIO!A$10:A$109,INICIO!L$10:L$109)</f>
        <v/>
      </c>
      <c r="C657" s="72" t="s">
        <v>109</v>
      </c>
      <c r="D657" s="73"/>
      <c r="E657" s="73"/>
      <c r="F657" s="73"/>
      <c r="G657" s="76"/>
      <c r="H657" s="104">
        <f t="shared" si="1135"/>
        <v>0</v>
      </c>
      <c r="I657" s="3" t="str">
        <f t="shared" ref="I657" si="1160">IF(B658,CONCATENATE(C657,D657," ",E657,F657,G657),"")</f>
        <v/>
      </c>
    </row>
    <row r="658" spans="2:9" hidden="1" x14ac:dyDescent="0.25">
      <c r="B658" s="102">
        <f>LOOKUP(B655,INICIO!A$10:A$109,INICIO!J$10:J$109)</f>
        <v>0</v>
      </c>
      <c r="C658" s="72" t="s">
        <v>110</v>
      </c>
      <c r="D658" s="73" t="str">
        <f t="shared" ref="D658" si="1161">CONCATENATE(E655,F655)</f>
        <v/>
      </c>
      <c r="E658" s="73" t="s">
        <v>73</v>
      </c>
      <c r="F658" s="73"/>
      <c r="G658" s="76"/>
      <c r="H658" s="104">
        <f t="shared" si="1135"/>
        <v>0</v>
      </c>
      <c r="I658" s="3" t="str">
        <f t="shared" ref="I658" si="1162">IF(B658,CONCATENATE(C658,D658," ",E658,F658,G658),"")</f>
        <v/>
      </c>
    </row>
    <row r="659" spans="2:9" hidden="1" x14ac:dyDescent="0.25">
      <c r="B659" s="102">
        <f>LOOKUP(B655,INICIO!A$10:A$109,INICIO!E$10:E$109)</f>
        <v>0</v>
      </c>
      <c r="C659" s="72" t="s">
        <v>111</v>
      </c>
      <c r="D659" s="73" t="str">
        <f t="shared" ref="D659" si="1163">CONCATENATE(E655,F655)</f>
        <v/>
      </c>
      <c r="E659" s="73" t="s">
        <v>74</v>
      </c>
      <c r="F659" s="73"/>
      <c r="G659" s="76"/>
      <c r="H659" s="104">
        <f t="shared" si="1135"/>
        <v>0</v>
      </c>
      <c r="I659" s="3" t="str">
        <f t="shared" ref="I659" si="1164">IF(B658,CONCATENATE(C659,D659," ",E659,F659,G659),"")</f>
        <v/>
      </c>
    </row>
    <row r="660" spans="2:9" hidden="1" x14ac:dyDescent="0.25">
      <c r="B660" s="103"/>
      <c r="C660" s="74" t="s">
        <v>112</v>
      </c>
      <c r="D660" s="40"/>
      <c r="E660" s="40"/>
      <c r="F660" s="40"/>
      <c r="G660" s="77"/>
      <c r="H660" s="104">
        <f t="shared" si="1135"/>
        <v>0</v>
      </c>
      <c r="I660" s="3" t="str">
        <f t="shared" ref="I660" si="1165">IF(B658,CONCATENATE(C660,D660," ",E660,F660,G660),"")</f>
        <v/>
      </c>
    </row>
    <row r="661" spans="2:9" hidden="1" x14ac:dyDescent="0.25">
      <c r="H661" s="104">
        <f t="shared" si="1135"/>
        <v>0</v>
      </c>
      <c r="I661" s="3" t="str">
        <f t="shared" ref="I661" si="1166">IF(ISTEXT(B666),CONCATENATE("    // ",B666),"")</f>
        <v/>
      </c>
    </row>
    <row r="662" spans="2:9" hidden="1" x14ac:dyDescent="0.25">
      <c r="B662" s="101">
        <v>95</v>
      </c>
      <c r="C662" s="70" t="s">
        <v>107</v>
      </c>
      <c r="D662" s="71" t="str">
        <f t="shared" ref="D662" si="1167">B664</f>
        <v/>
      </c>
      <c r="E662" s="71" t="str">
        <f t="shared" ref="E662" si="1168">LOWER(E663)</f>
        <v/>
      </c>
      <c r="F662" s="71"/>
      <c r="G662" s="75" t="s">
        <v>72</v>
      </c>
      <c r="H662" s="104">
        <f t="shared" si="1135"/>
        <v>0</v>
      </c>
      <c r="I662" s="3" t="str">
        <f t="shared" ref="I662" si="1169">IF(B665,CONCATENATE(C662,D662," ",E662,F662,G662),"")</f>
        <v/>
      </c>
    </row>
    <row r="663" spans="2:9" hidden="1" x14ac:dyDescent="0.25">
      <c r="B663" s="102" t="str">
        <f>LOOKUP(B662,INICIO!A$10:A$109,INICIO!K$10:K$109)</f>
        <v/>
      </c>
      <c r="C663" s="72" t="s">
        <v>108</v>
      </c>
      <c r="D663" s="73" t="str">
        <f t="shared" ref="D663" si="1170">B664</f>
        <v/>
      </c>
      <c r="E663" s="73" t="str">
        <f t="shared" ref="E663" si="1171">B663</f>
        <v/>
      </c>
      <c r="F663" s="73"/>
      <c r="G663" s="76"/>
      <c r="H663" s="104">
        <f t="shared" si="1135"/>
        <v>0</v>
      </c>
      <c r="I663" s="3" t="str">
        <f t="shared" ref="I663" si="1172">IF(B665,CONCATENATE(C663,D663," ",E663,F663,G663),"")</f>
        <v/>
      </c>
    </row>
    <row r="664" spans="2:9" hidden="1" x14ac:dyDescent="0.25">
      <c r="B664" s="102" t="str">
        <f>LOOKUP(B662,INICIO!A$10:A$109,INICIO!L$10:L$109)</f>
        <v/>
      </c>
      <c r="C664" s="72" t="s">
        <v>109</v>
      </c>
      <c r="D664" s="73"/>
      <c r="E664" s="73"/>
      <c r="F664" s="73"/>
      <c r="G664" s="76"/>
      <c r="H664" s="104">
        <f t="shared" si="1135"/>
        <v>0</v>
      </c>
      <c r="I664" s="3" t="str">
        <f t="shared" ref="I664" si="1173">IF(B665,CONCATENATE(C664,D664," ",E664,F664,G664),"")</f>
        <v/>
      </c>
    </row>
    <row r="665" spans="2:9" hidden="1" x14ac:dyDescent="0.25">
      <c r="B665" s="102">
        <f>LOOKUP(B662,INICIO!A$10:A$109,INICIO!J$10:J$109)</f>
        <v>0</v>
      </c>
      <c r="C665" s="72" t="s">
        <v>110</v>
      </c>
      <c r="D665" s="73" t="str">
        <f t="shared" ref="D665" si="1174">CONCATENATE(E662,F662)</f>
        <v/>
      </c>
      <c r="E665" s="73" t="s">
        <v>73</v>
      </c>
      <c r="F665" s="73"/>
      <c r="G665" s="76"/>
      <c r="H665" s="104">
        <f t="shared" si="1135"/>
        <v>0</v>
      </c>
      <c r="I665" s="3" t="str">
        <f t="shared" ref="I665" si="1175">IF(B665,CONCATENATE(C665,D665," ",E665,F665,G665),"")</f>
        <v/>
      </c>
    </row>
    <row r="666" spans="2:9" hidden="1" x14ac:dyDescent="0.25">
      <c r="B666" s="102">
        <f>LOOKUP(B662,INICIO!A$10:A$109,INICIO!E$10:E$109)</f>
        <v>0</v>
      </c>
      <c r="C666" s="72" t="s">
        <v>111</v>
      </c>
      <c r="D666" s="73" t="str">
        <f t="shared" ref="D666" si="1176">CONCATENATE(E662,F662)</f>
        <v/>
      </c>
      <c r="E666" s="73" t="s">
        <v>74</v>
      </c>
      <c r="F666" s="73"/>
      <c r="G666" s="76"/>
      <c r="H666" s="104">
        <f t="shared" si="1135"/>
        <v>0</v>
      </c>
      <c r="I666" s="3" t="str">
        <f t="shared" ref="I666" si="1177">IF(B665,CONCATENATE(C666,D666," ",E666,F666,G666),"")</f>
        <v/>
      </c>
    </row>
    <row r="667" spans="2:9" hidden="1" x14ac:dyDescent="0.25">
      <c r="B667" s="103"/>
      <c r="C667" s="74" t="s">
        <v>112</v>
      </c>
      <c r="D667" s="40"/>
      <c r="E667" s="40"/>
      <c r="F667" s="40"/>
      <c r="G667" s="77"/>
      <c r="H667" s="104">
        <f t="shared" si="1135"/>
        <v>0</v>
      </c>
      <c r="I667" s="3" t="str">
        <f t="shared" ref="I667" si="1178">IF(B665,CONCATENATE(C667,D667," ",E667,F667,G667),"")</f>
        <v/>
      </c>
    </row>
    <row r="668" spans="2:9" hidden="1" x14ac:dyDescent="0.25">
      <c r="H668" s="104">
        <f t="shared" si="1135"/>
        <v>0</v>
      </c>
      <c r="I668" s="3" t="str">
        <f t="shared" ref="I668" si="1179">IF(ISTEXT(B673),CONCATENATE("    // ",B673),"")</f>
        <v/>
      </c>
    </row>
    <row r="669" spans="2:9" hidden="1" x14ac:dyDescent="0.25">
      <c r="B669" s="101">
        <v>96</v>
      </c>
      <c r="C669" s="70" t="s">
        <v>107</v>
      </c>
      <c r="D669" s="71" t="str">
        <f t="shared" ref="D669" si="1180">B671</f>
        <v/>
      </c>
      <c r="E669" s="71" t="str">
        <f t="shared" ref="E669" si="1181">LOWER(E670)</f>
        <v/>
      </c>
      <c r="F669" s="71"/>
      <c r="G669" s="75" t="s">
        <v>72</v>
      </c>
      <c r="H669" s="104">
        <f t="shared" si="1135"/>
        <v>0</v>
      </c>
      <c r="I669" s="3" t="str">
        <f t="shared" ref="I669" si="1182">IF(B672,CONCATENATE(C669,D669," ",E669,F669,G669),"")</f>
        <v/>
      </c>
    </row>
    <row r="670" spans="2:9" hidden="1" x14ac:dyDescent="0.25">
      <c r="B670" s="102" t="str">
        <f>LOOKUP(B669,INICIO!A$10:A$109,INICIO!K$10:K$109)</f>
        <v/>
      </c>
      <c r="C670" s="72" t="s">
        <v>108</v>
      </c>
      <c r="D670" s="73" t="str">
        <f t="shared" ref="D670" si="1183">B671</f>
        <v/>
      </c>
      <c r="E670" s="73" t="str">
        <f t="shared" ref="E670" si="1184">B670</f>
        <v/>
      </c>
      <c r="F670" s="73"/>
      <c r="G670" s="76"/>
      <c r="H670" s="104">
        <f t="shared" si="1135"/>
        <v>0</v>
      </c>
      <c r="I670" s="3" t="str">
        <f t="shared" ref="I670" si="1185">IF(B672,CONCATENATE(C670,D670," ",E670,F670,G670),"")</f>
        <v/>
      </c>
    </row>
    <row r="671" spans="2:9" hidden="1" x14ac:dyDescent="0.25">
      <c r="B671" s="102" t="str">
        <f>LOOKUP(B669,INICIO!A$10:A$109,INICIO!L$10:L$109)</f>
        <v/>
      </c>
      <c r="C671" s="72" t="s">
        <v>109</v>
      </c>
      <c r="D671" s="73"/>
      <c r="E671" s="73"/>
      <c r="F671" s="73"/>
      <c r="G671" s="76"/>
      <c r="H671" s="104">
        <f t="shared" si="1135"/>
        <v>0</v>
      </c>
      <c r="I671" s="3" t="str">
        <f t="shared" ref="I671" si="1186">IF(B672,CONCATENATE(C671,D671," ",E671,F671,G671),"")</f>
        <v/>
      </c>
    </row>
    <row r="672" spans="2:9" hidden="1" x14ac:dyDescent="0.25">
      <c r="B672" s="102">
        <f>LOOKUP(B669,INICIO!A$10:A$109,INICIO!J$10:J$109)</f>
        <v>0</v>
      </c>
      <c r="C672" s="72" t="s">
        <v>110</v>
      </c>
      <c r="D672" s="73" t="str">
        <f t="shared" ref="D672" si="1187">CONCATENATE(E669,F669)</f>
        <v/>
      </c>
      <c r="E672" s="73" t="s">
        <v>73</v>
      </c>
      <c r="F672" s="73"/>
      <c r="G672" s="76"/>
      <c r="H672" s="104">
        <f t="shared" si="1135"/>
        <v>0</v>
      </c>
      <c r="I672" s="3" t="str">
        <f t="shared" ref="I672" si="1188">IF(B672,CONCATENATE(C672,D672," ",E672,F672,G672),"")</f>
        <v/>
      </c>
    </row>
    <row r="673" spans="2:9" hidden="1" x14ac:dyDescent="0.25">
      <c r="B673" s="102">
        <f>LOOKUP(B669,INICIO!A$10:A$109,INICIO!E$10:E$109)</f>
        <v>0</v>
      </c>
      <c r="C673" s="72" t="s">
        <v>111</v>
      </c>
      <c r="D673" s="73" t="str">
        <f t="shared" ref="D673" si="1189">CONCATENATE(E669,F669)</f>
        <v/>
      </c>
      <c r="E673" s="73" t="s">
        <v>74</v>
      </c>
      <c r="F673" s="73"/>
      <c r="G673" s="76"/>
      <c r="H673" s="104">
        <f t="shared" si="1135"/>
        <v>0</v>
      </c>
      <c r="I673" s="3" t="str">
        <f t="shared" ref="I673" si="1190">IF(B672,CONCATENATE(C673,D673," ",E673,F673,G673),"")</f>
        <v/>
      </c>
    </row>
    <row r="674" spans="2:9" hidden="1" x14ac:dyDescent="0.25">
      <c r="B674" s="103"/>
      <c r="C674" s="74" t="s">
        <v>112</v>
      </c>
      <c r="D674" s="40"/>
      <c r="E674" s="40"/>
      <c r="F674" s="40"/>
      <c r="G674" s="77"/>
      <c r="H674" s="104">
        <f t="shared" si="1135"/>
        <v>0</v>
      </c>
      <c r="I674" s="3" t="str">
        <f t="shared" ref="I674" si="1191">IF(B672,CONCATENATE(C674,D674," ",E674,F674,G674),"")</f>
        <v/>
      </c>
    </row>
    <row r="675" spans="2:9" hidden="1" x14ac:dyDescent="0.25">
      <c r="H675" s="104">
        <f t="shared" si="1135"/>
        <v>0</v>
      </c>
      <c r="I675" s="3" t="str">
        <f t="shared" ref="I675" si="1192">IF(ISTEXT(B680),CONCATENATE("    // ",B680),"")</f>
        <v/>
      </c>
    </row>
    <row r="676" spans="2:9" hidden="1" x14ac:dyDescent="0.25">
      <c r="B676" s="101">
        <v>97</v>
      </c>
      <c r="C676" s="70" t="s">
        <v>107</v>
      </c>
      <c r="D676" s="71" t="str">
        <f t="shared" ref="D676" si="1193">B678</f>
        <v/>
      </c>
      <c r="E676" s="71" t="str">
        <f t="shared" ref="E676" si="1194">LOWER(E677)</f>
        <v/>
      </c>
      <c r="F676" s="71"/>
      <c r="G676" s="75" t="s">
        <v>72</v>
      </c>
      <c r="H676" s="104">
        <f t="shared" si="1135"/>
        <v>0</v>
      </c>
      <c r="I676" s="3" t="str">
        <f t="shared" ref="I676" si="1195">IF(B679,CONCATENATE(C676,D676," ",E676,F676,G676),"")</f>
        <v/>
      </c>
    </row>
    <row r="677" spans="2:9" hidden="1" x14ac:dyDescent="0.25">
      <c r="B677" s="102" t="str">
        <f>LOOKUP(B676,INICIO!A$10:A$109,INICIO!K$10:K$109)</f>
        <v/>
      </c>
      <c r="C677" s="72" t="s">
        <v>108</v>
      </c>
      <c r="D677" s="73" t="str">
        <f t="shared" ref="D677" si="1196">B678</f>
        <v/>
      </c>
      <c r="E677" s="73" t="str">
        <f t="shared" ref="E677" si="1197">B677</f>
        <v/>
      </c>
      <c r="F677" s="73"/>
      <c r="G677" s="76"/>
      <c r="H677" s="104">
        <f t="shared" si="1135"/>
        <v>0</v>
      </c>
      <c r="I677" s="3" t="str">
        <f t="shared" ref="I677" si="1198">IF(B679,CONCATENATE(C677,D677," ",E677,F677,G677),"")</f>
        <v/>
      </c>
    </row>
    <row r="678" spans="2:9" hidden="1" x14ac:dyDescent="0.25">
      <c r="B678" s="102" t="str">
        <f>LOOKUP(B676,INICIO!A$10:A$109,INICIO!L$10:L$109)</f>
        <v/>
      </c>
      <c r="C678" s="72" t="s">
        <v>109</v>
      </c>
      <c r="D678" s="73"/>
      <c r="E678" s="73"/>
      <c r="F678" s="73"/>
      <c r="G678" s="76"/>
      <c r="H678" s="104">
        <f t="shared" si="1135"/>
        <v>0</v>
      </c>
      <c r="I678" s="3" t="str">
        <f t="shared" ref="I678" si="1199">IF(B679,CONCATENATE(C678,D678," ",E678,F678,G678),"")</f>
        <v/>
      </c>
    </row>
    <row r="679" spans="2:9" hidden="1" x14ac:dyDescent="0.25">
      <c r="B679" s="102">
        <f>LOOKUP(B676,INICIO!A$10:A$109,INICIO!J$10:J$109)</f>
        <v>0</v>
      </c>
      <c r="C679" s="72" t="s">
        <v>110</v>
      </c>
      <c r="D679" s="73" t="str">
        <f t="shared" ref="D679" si="1200">CONCATENATE(E676,F676)</f>
        <v/>
      </c>
      <c r="E679" s="73" t="s">
        <v>73</v>
      </c>
      <c r="F679" s="73"/>
      <c r="G679" s="76"/>
      <c r="H679" s="104">
        <f t="shared" si="1135"/>
        <v>0</v>
      </c>
      <c r="I679" s="3" t="str">
        <f t="shared" ref="I679" si="1201">IF(B679,CONCATENATE(C679,D679," ",E679,F679,G679),"")</f>
        <v/>
      </c>
    </row>
    <row r="680" spans="2:9" hidden="1" x14ac:dyDescent="0.25">
      <c r="B680" s="102">
        <f>LOOKUP(B676,INICIO!A$10:A$109,INICIO!E$10:E$109)</f>
        <v>0</v>
      </c>
      <c r="C680" s="72" t="s">
        <v>111</v>
      </c>
      <c r="D680" s="73" t="str">
        <f t="shared" ref="D680" si="1202">CONCATENATE(E676,F676)</f>
        <v/>
      </c>
      <c r="E680" s="73" t="s">
        <v>74</v>
      </c>
      <c r="F680" s="73"/>
      <c r="G680" s="76"/>
      <c r="H680" s="104">
        <f t="shared" si="1135"/>
        <v>0</v>
      </c>
      <c r="I680" s="3" t="str">
        <f t="shared" ref="I680" si="1203">IF(B679,CONCATENATE(C680,D680," ",E680,F680,G680),"")</f>
        <v/>
      </c>
    </row>
    <row r="681" spans="2:9" hidden="1" x14ac:dyDescent="0.25">
      <c r="B681" s="103"/>
      <c r="C681" s="74" t="s">
        <v>112</v>
      </c>
      <c r="D681" s="40"/>
      <c r="E681" s="40"/>
      <c r="F681" s="40"/>
      <c r="G681" s="77"/>
      <c r="H681" s="104">
        <f t="shared" si="1135"/>
        <v>0</v>
      </c>
      <c r="I681" s="3" t="str">
        <f t="shared" ref="I681" si="1204">IF(B679,CONCATENATE(C681,D681," ",E681,F681,G681),"")</f>
        <v/>
      </c>
    </row>
    <row r="682" spans="2:9" hidden="1" x14ac:dyDescent="0.25">
      <c r="H682" s="104">
        <f t="shared" si="1135"/>
        <v>0</v>
      </c>
      <c r="I682" s="3" t="str">
        <f t="shared" ref="I682" si="1205">IF(ISTEXT(B687),CONCATENATE("    // ",B687),"")</f>
        <v/>
      </c>
    </row>
    <row r="683" spans="2:9" hidden="1" x14ac:dyDescent="0.25">
      <c r="B683" s="101">
        <v>98</v>
      </c>
      <c r="C683" s="70" t="s">
        <v>107</v>
      </c>
      <c r="D683" s="71" t="str">
        <f t="shared" ref="D683" si="1206">B685</f>
        <v/>
      </c>
      <c r="E683" s="71" t="str">
        <f t="shared" ref="E683" si="1207">LOWER(E684)</f>
        <v/>
      </c>
      <c r="F683" s="71"/>
      <c r="G683" s="75" t="s">
        <v>72</v>
      </c>
      <c r="H683" s="104">
        <f t="shared" si="1135"/>
        <v>0</v>
      </c>
      <c r="I683" s="3" t="str">
        <f t="shared" ref="I683" si="1208">IF(B686,CONCATENATE(C683,D683," ",E683,F683,G683),"")</f>
        <v/>
      </c>
    </row>
    <row r="684" spans="2:9" hidden="1" x14ac:dyDescent="0.25">
      <c r="B684" s="102" t="str">
        <f>LOOKUP(B683,INICIO!A$10:A$109,INICIO!K$10:K$109)</f>
        <v/>
      </c>
      <c r="C684" s="72" t="s">
        <v>108</v>
      </c>
      <c r="D684" s="73" t="str">
        <f t="shared" ref="D684" si="1209">B685</f>
        <v/>
      </c>
      <c r="E684" s="73" t="str">
        <f t="shared" ref="E684" si="1210">B684</f>
        <v/>
      </c>
      <c r="F684" s="73"/>
      <c r="G684" s="76"/>
      <c r="H684" s="104">
        <f t="shared" si="1135"/>
        <v>0</v>
      </c>
      <c r="I684" s="3" t="str">
        <f t="shared" ref="I684" si="1211">IF(B686,CONCATENATE(C684,D684," ",E684,F684,G684),"")</f>
        <v/>
      </c>
    </row>
    <row r="685" spans="2:9" hidden="1" x14ac:dyDescent="0.25">
      <c r="B685" s="102" t="str">
        <f>LOOKUP(B683,INICIO!A$10:A$109,INICIO!L$10:L$109)</f>
        <v/>
      </c>
      <c r="C685" s="72" t="s">
        <v>109</v>
      </c>
      <c r="D685" s="73"/>
      <c r="E685" s="73"/>
      <c r="F685" s="73"/>
      <c r="G685" s="76"/>
      <c r="H685" s="104">
        <f t="shared" si="1135"/>
        <v>0</v>
      </c>
      <c r="I685" s="3" t="str">
        <f t="shared" ref="I685" si="1212">IF(B686,CONCATENATE(C685,D685," ",E685,F685,G685),"")</f>
        <v/>
      </c>
    </row>
    <row r="686" spans="2:9" hidden="1" x14ac:dyDescent="0.25">
      <c r="B686" s="102">
        <f>LOOKUP(B683,INICIO!A$10:A$109,INICIO!J$10:J$109)</f>
        <v>0</v>
      </c>
      <c r="C686" s="72" t="s">
        <v>110</v>
      </c>
      <c r="D686" s="73" t="str">
        <f t="shared" ref="D686" si="1213">CONCATENATE(E683,F683)</f>
        <v/>
      </c>
      <c r="E686" s="73" t="s">
        <v>73</v>
      </c>
      <c r="F686" s="73"/>
      <c r="G686" s="76"/>
      <c r="H686" s="104">
        <f t="shared" si="1135"/>
        <v>0</v>
      </c>
      <c r="I686" s="3" t="str">
        <f t="shared" ref="I686" si="1214">IF(B686,CONCATENATE(C686,D686," ",E686,F686,G686),"")</f>
        <v/>
      </c>
    </row>
    <row r="687" spans="2:9" hidden="1" x14ac:dyDescent="0.25">
      <c r="B687" s="102">
        <f>LOOKUP(B683,INICIO!A$10:A$109,INICIO!E$10:E$109)</f>
        <v>0</v>
      </c>
      <c r="C687" s="72" t="s">
        <v>111</v>
      </c>
      <c r="D687" s="73" t="str">
        <f t="shared" ref="D687" si="1215">CONCATENATE(E683,F683)</f>
        <v/>
      </c>
      <c r="E687" s="73" t="s">
        <v>74</v>
      </c>
      <c r="F687" s="73"/>
      <c r="G687" s="76"/>
      <c r="H687" s="104">
        <f t="shared" si="1135"/>
        <v>0</v>
      </c>
      <c r="I687" s="3" t="str">
        <f t="shared" ref="I687" si="1216">IF(B686,CONCATENATE(C687,D687," ",E687,F687,G687),"")</f>
        <v/>
      </c>
    </row>
    <row r="688" spans="2:9" hidden="1" x14ac:dyDescent="0.25">
      <c r="B688" s="103"/>
      <c r="C688" s="74" t="s">
        <v>112</v>
      </c>
      <c r="D688" s="40"/>
      <c r="E688" s="40"/>
      <c r="F688" s="40"/>
      <c r="G688" s="77"/>
      <c r="H688" s="104">
        <f t="shared" si="1135"/>
        <v>0</v>
      </c>
      <c r="I688" s="3" t="str">
        <f t="shared" ref="I688" si="1217">IF(B686,CONCATENATE(C688,D688," ",E688,F688,G688),"")</f>
        <v/>
      </c>
    </row>
    <row r="689" spans="2:9" hidden="1" x14ac:dyDescent="0.25">
      <c r="H689" s="104">
        <f t="shared" si="1135"/>
        <v>0</v>
      </c>
      <c r="I689" s="3" t="str">
        <f t="shared" ref="I689" si="1218">IF(ISTEXT(B694),CONCATENATE("    // ",B694),"")</f>
        <v/>
      </c>
    </row>
    <row r="690" spans="2:9" hidden="1" x14ac:dyDescent="0.25">
      <c r="B690" s="101">
        <v>99</v>
      </c>
      <c r="C690" s="70" t="s">
        <v>107</v>
      </c>
      <c r="D690" s="71" t="str">
        <f t="shared" ref="D690" si="1219">B692</f>
        <v/>
      </c>
      <c r="E690" s="71" t="str">
        <f t="shared" ref="E690" si="1220">LOWER(E691)</f>
        <v/>
      </c>
      <c r="F690" s="71"/>
      <c r="G690" s="75" t="s">
        <v>72</v>
      </c>
      <c r="H690" s="104">
        <f t="shared" si="1135"/>
        <v>0</v>
      </c>
      <c r="I690" s="3" t="str">
        <f t="shared" ref="I690" si="1221">IF(B693,CONCATENATE(C690,D690," ",E690,F690,G690),"")</f>
        <v/>
      </c>
    </row>
    <row r="691" spans="2:9" hidden="1" x14ac:dyDescent="0.25">
      <c r="B691" s="102" t="str">
        <f>LOOKUP(B690,INICIO!A$10:A$109,INICIO!K$10:K$109)</f>
        <v/>
      </c>
      <c r="C691" s="72" t="s">
        <v>108</v>
      </c>
      <c r="D691" s="73" t="str">
        <f t="shared" ref="D691" si="1222">B692</f>
        <v/>
      </c>
      <c r="E691" s="73" t="str">
        <f t="shared" ref="E691" si="1223">B691</f>
        <v/>
      </c>
      <c r="F691" s="73"/>
      <c r="G691" s="76"/>
      <c r="H691" s="104">
        <f t="shared" si="1135"/>
        <v>0</v>
      </c>
      <c r="I691" s="3" t="str">
        <f t="shared" ref="I691" si="1224">IF(B693,CONCATENATE(C691,D691," ",E691,F691,G691),"")</f>
        <v/>
      </c>
    </row>
    <row r="692" spans="2:9" hidden="1" x14ac:dyDescent="0.25">
      <c r="B692" s="102" t="str">
        <f>LOOKUP(B690,INICIO!A$10:A$109,INICIO!L$10:L$109)</f>
        <v/>
      </c>
      <c r="C692" s="72" t="s">
        <v>109</v>
      </c>
      <c r="D692" s="73"/>
      <c r="E692" s="73"/>
      <c r="F692" s="73"/>
      <c r="G692" s="76"/>
      <c r="H692" s="104">
        <f t="shared" si="1135"/>
        <v>0</v>
      </c>
      <c r="I692" s="3" t="str">
        <f t="shared" ref="I692" si="1225">IF(B693,CONCATENATE(C692,D692," ",E692,F692,G692),"")</f>
        <v/>
      </c>
    </row>
    <row r="693" spans="2:9" hidden="1" x14ac:dyDescent="0.25">
      <c r="B693" s="102">
        <f>LOOKUP(B690,INICIO!A$10:A$109,INICIO!J$10:J$109)</f>
        <v>0</v>
      </c>
      <c r="C693" s="72" t="s">
        <v>110</v>
      </c>
      <c r="D693" s="73" t="str">
        <f t="shared" ref="D693" si="1226">CONCATENATE(E690,F690)</f>
        <v/>
      </c>
      <c r="E693" s="73" t="s">
        <v>73</v>
      </c>
      <c r="F693" s="73"/>
      <c r="G693" s="76"/>
      <c r="H693" s="104">
        <f t="shared" si="1135"/>
        <v>0</v>
      </c>
      <c r="I693" s="3" t="str">
        <f t="shared" ref="I693" si="1227">IF(B693,CONCATENATE(C693,D693," ",E693,F693,G693),"")</f>
        <v/>
      </c>
    </row>
    <row r="694" spans="2:9" hidden="1" x14ac:dyDescent="0.25">
      <c r="B694" s="102">
        <f>LOOKUP(B690,INICIO!A$10:A$109,INICIO!E$10:E$109)</f>
        <v>0</v>
      </c>
      <c r="C694" s="72" t="s">
        <v>111</v>
      </c>
      <c r="D694" s="73" t="str">
        <f t="shared" ref="D694" si="1228">CONCATENATE(E690,F690)</f>
        <v/>
      </c>
      <c r="E694" s="73" t="s">
        <v>74</v>
      </c>
      <c r="F694" s="73"/>
      <c r="G694" s="76"/>
      <c r="H694" s="104">
        <f t="shared" si="1135"/>
        <v>0</v>
      </c>
      <c r="I694" s="3" t="str">
        <f t="shared" ref="I694" si="1229">IF(B693,CONCATENATE(C694,D694," ",E694,F694,G694),"")</f>
        <v/>
      </c>
    </row>
    <row r="695" spans="2:9" hidden="1" x14ac:dyDescent="0.25">
      <c r="B695" s="103"/>
      <c r="C695" s="74" t="s">
        <v>112</v>
      </c>
      <c r="D695" s="40"/>
      <c r="E695" s="40"/>
      <c r="F695" s="40"/>
      <c r="G695" s="77"/>
      <c r="H695" s="104">
        <f t="shared" si="1135"/>
        <v>0</v>
      </c>
      <c r="I695" s="3" t="str">
        <f t="shared" ref="I695" si="1230">IF(B693,CONCATENATE(C695,D695," ",E695,F695,G695),"")</f>
        <v/>
      </c>
    </row>
    <row r="696" spans="2:9" hidden="1" x14ac:dyDescent="0.25">
      <c r="H696" s="104">
        <f t="shared" si="1135"/>
        <v>0</v>
      </c>
      <c r="I696" s="3" t="str">
        <f t="shared" ref="I696" si="1231">IF(ISTEXT(B701),CONCATENATE("    // ",B701),"")</f>
        <v/>
      </c>
    </row>
    <row r="697" spans="2:9" hidden="1" x14ac:dyDescent="0.25">
      <c r="B697" s="101">
        <v>100</v>
      </c>
      <c r="C697" s="70" t="s">
        <v>107</v>
      </c>
      <c r="D697" s="71" t="str">
        <f t="shared" ref="D697" si="1232">B699</f>
        <v/>
      </c>
      <c r="E697" s="71" t="str">
        <f t="shared" ref="E697" si="1233">LOWER(E698)</f>
        <v/>
      </c>
      <c r="F697" s="71"/>
      <c r="G697" s="75" t="s">
        <v>72</v>
      </c>
      <c r="H697" s="104">
        <f t="shared" si="1135"/>
        <v>0</v>
      </c>
      <c r="I697" s="3" t="str">
        <f t="shared" ref="I697" si="1234">IF(B700,CONCATENATE(C697,D697," ",E697,F697,G697),"")</f>
        <v/>
      </c>
    </row>
    <row r="698" spans="2:9" hidden="1" x14ac:dyDescent="0.25">
      <c r="B698" s="102" t="str">
        <f>LOOKUP(B697,INICIO!A$10:A$109,INICIO!K$10:K$109)</f>
        <v/>
      </c>
      <c r="C698" s="72" t="s">
        <v>108</v>
      </c>
      <c r="D698" s="73" t="str">
        <f t="shared" ref="D698" si="1235">B699</f>
        <v/>
      </c>
      <c r="E698" s="73" t="str">
        <f t="shared" ref="E698" si="1236">B698</f>
        <v/>
      </c>
      <c r="F698" s="73"/>
      <c r="G698" s="76"/>
      <c r="H698" s="104">
        <f t="shared" si="1135"/>
        <v>0</v>
      </c>
      <c r="I698" s="3" t="str">
        <f t="shared" ref="I698" si="1237">IF(B700,CONCATENATE(C698,D698," ",E698,F698,G698),"")</f>
        <v/>
      </c>
    </row>
    <row r="699" spans="2:9" hidden="1" x14ac:dyDescent="0.25">
      <c r="B699" s="102" t="str">
        <f>LOOKUP(B697,INICIO!A$10:A$109,INICIO!L$10:L$109)</f>
        <v/>
      </c>
      <c r="C699" s="72" t="s">
        <v>109</v>
      </c>
      <c r="D699" s="73"/>
      <c r="E699" s="73"/>
      <c r="F699" s="73"/>
      <c r="G699" s="76"/>
      <c r="H699" s="104">
        <f t="shared" si="1135"/>
        <v>0</v>
      </c>
      <c r="I699" s="3" t="str">
        <f t="shared" ref="I699" si="1238">IF(B700,CONCATENATE(C699,D699," ",E699,F699,G699),"")</f>
        <v/>
      </c>
    </row>
    <row r="700" spans="2:9" hidden="1" x14ac:dyDescent="0.25">
      <c r="B700" s="102">
        <f>LOOKUP(B697,INICIO!A$10:A$109,INICIO!J$10:J$109)</f>
        <v>0</v>
      </c>
      <c r="C700" s="72" t="s">
        <v>110</v>
      </c>
      <c r="D700" s="73" t="str">
        <f t="shared" ref="D700" si="1239">CONCATENATE(E697,F697)</f>
        <v/>
      </c>
      <c r="E700" s="73" t="s">
        <v>73</v>
      </c>
      <c r="F700" s="73"/>
      <c r="G700" s="76"/>
      <c r="H700" s="104">
        <f t="shared" si="1135"/>
        <v>0</v>
      </c>
      <c r="I700" s="3" t="str">
        <f t="shared" ref="I700" si="1240">IF(B700,CONCATENATE(C700,D700," ",E700,F700,G700),"")</f>
        <v/>
      </c>
    </row>
    <row r="701" spans="2:9" hidden="1" x14ac:dyDescent="0.25">
      <c r="B701" s="102">
        <f>LOOKUP(B697,INICIO!A$10:A$109,INICIO!E$10:E$109)</f>
        <v>0</v>
      </c>
      <c r="C701" s="72" t="s">
        <v>111</v>
      </c>
      <c r="D701" s="73" t="str">
        <f t="shared" ref="D701" si="1241">CONCATENATE(E697,F697)</f>
        <v/>
      </c>
      <c r="E701" s="73" t="s">
        <v>74</v>
      </c>
      <c r="F701" s="73"/>
      <c r="G701" s="76"/>
      <c r="H701" s="104">
        <f t="shared" si="1135"/>
        <v>0</v>
      </c>
      <c r="I701" s="3" t="str">
        <f t="shared" ref="I701" si="1242">IF(B700,CONCATENATE(C701,D701," ",E701,F701,G701),"")</f>
        <v/>
      </c>
    </row>
    <row r="702" spans="2:9" hidden="1" x14ac:dyDescent="0.25">
      <c r="B702" s="103"/>
      <c r="C702" s="74" t="s">
        <v>112</v>
      </c>
      <c r="D702" s="40"/>
      <c r="E702" s="40"/>
      <c r="F702" s="40"/>
      <c r="G702" s="77"/>
      <c r="H702" s="104">
        <f t="shared" si="1135"/>
        <v>0</v>
      </c>
      <c r="I702" s="3" t="str">
        <f t="shared" ref="I702" si="1243">IF(B700,CONCATENATE(C702,D702," ",E702,F702,G702),"")</f>
        <v/>
      </c>
    </row>
    <row r="703" spans="2:9" x14ac:dyDescent="0.25">
      <c r="H703" s="104">
        <f t="shared" si="1135"/>
        <v>1</v>
      </c>
      <c r="I703" s="3" t="s">
        <v>152</v>
      </c>
    </row>
  </sheetData>
  <sheetProtection sheet="1" objects="1" scenarios="1"/>
  <autoFilter ref="H1:I70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filterMode="1">
    <tabColor theme="9" tint="0.39997558519241921"/>
  </sheetPr>
  <dimension ref="A1:G113"/>
  <sheetViews>
    <sheetView showGridLines="0" tabSelected="1" topLeftCell="E1" workbookViewId="0">
      <selection activeCell="M118" sqref="M118"/>
    </sheetView>
  </sheetViews>
  <sheetFormatPr defaultRowHeight="15" x14ac:dyDescent="0.25"/>
  <cols>
    <col min="1" max="1" width="9.140625" hidden="1" customWidth="1"/>
    <col min="2" max="2" width="21.28515625" hidden="1" customWidth="1"/>
    <col min="3" max="3" width="51.28515625" hidden="1" customWidth="1"/>
    <col min="4" max="4" width="21.28515625" hidden="1" customWidth="1"/>
    <col min="5" max="5" width="10.5703125" customWidth="1"/>
    <col min="6" max="6" width="8.140625" hidden="1" customWidth="1"/>
    <col min="7" max="7" width="73.7109375" customWidth="1"/>
  </cols>
  <sheetData>
    <row r="1" spans="2:7" x14ac:dyDescent="0.25">
      <c r="F1" s="35" t="s">
        <v>148</v>
      </c>
      <c r="G1" s="35" t="s">
        <v>116</v>
      </c>
    </row>
    <row r="2" spans="2:7" x14ac:dyDescent="0.25">
      <c r="F2">
        <f>IF(G2&lt;&gt;"",1,0)</f>
        <v>1</v>
      </c>
      <c r="G2" s="3" t="str">
        <f>CONCATENATE("        public void CriarTabelas_",INICIO!D3,"()")</f>
        <v xml:space="preserve">        public void CriarTabelas_EmpresaMatriz()</v>
      </c>
    </row>
    <row r="3" spans="2:7" x14ac:dyDescent="0.25">
      <c r="F3">
        <f t="shared" ref="F3:F66" si="0">IF(G3&lt;&gt;"",1,0)</f>
        <v>1</v>
      </c>
      <c r="G3" s="3" t="s">
        <v>69</v>
      </c>
    </row>
    <row r="4" spans="2:7" x14ac:dyDescent="0.25">
      <c r="F4">
        <f t="shared" si="0"/>
        <v>1</v>
      </c>
      <c r="G4" s="3" t="s">
        <v>145</v>
      </c>
    </row>
    <row r="5" spans="2:7" x14ac:dyDescent="0.25">
      <c r="F5">
        <f t="shared" si="0"/>
        <v>1</v>
      </c>
      <c r="G5" s="3" t="s">
        <v>9</v>
      </c>
    </row>
    <row r="6" spans="2:7" x14ac:dyDescent="0.25">
      <c r="F6">
        <f t="shared" si="0"/>
        <v>1</v>
      </c>
      <c r="G6" s="3" t="s">
        <v>10</v>
      </c>
    </row>
    <row r="7" spans="2:7" x14ac:dyDescent="0.25">
      <c r="F7">
        <f t="shared" si="0"/>
        <v>1</v>
      </c>
      <c r="G7" s="3" t="s">
        <v>11</v>
      </c>
    </row>
    <row r="8" spans="2:7" x14ac:dyDescent="0.25">
      <c r="F8">
        <f t="shared" si="0"/>
        <v>1</v>
      </c>
      <c r="G8" s="3" t="s">
        <v>146</v>
      </c>
    </row>
    <row r="9" spans="2:7" x14ac:dyDescent="0.25">
      <c r="B9" t="s">
        <v>68</v>
      </c>
      <c r="C9" s="19" t="str">
        <f>INICIO!D3</f>
        <v>EmpresaMatriz</v>
      </c>
      <c r="D9" t="s">
        <v>15</v>
      </c>
      <c r="F9">
        <f t="shared" si="0"/>
        <v>1</v>
      </c>
      <c r="G9" s="3" t="str">
        <f>CONCATENATE("                ",B9,C9,D9)</f>
        <v xml:space="preserve">                cmd.CommandText =  "CREATE TABLE IF NOT EXISTS `EmpresaMatriz` ("</v>
      </c>
    </row>
    <row r="10" spans="2:7" x14ac:dyDescent="0.25">
      <c r="B10" t="s">
        <v>65</v>
      </c>
      <c r="C10" s="7" t="str">
        <f>INICIO!S10</f>
        <v>`E_Id` INT NOT NULL AUTO_INCREMENT,</v>
      </c>
      <c r="D10" t="s">
        <v>64</v>
      </c>
      <c r="F10">
        <f t="shared" si="0"/>
        <v>1</v>
      </c>
      <c r="G10" s="3" t="str">
        <f>IF(INICIO!J10,CONCATENATE("                ",B10,C10,D10),"")</f>
        <v xml:space="preserve">                 + "`E_Id` INT NOT NULL AUTO_INCREMENT,"</v>
      </c>
    </row>
    <row r="11" spans="2:7" x14ac:dyDescent="0.25">
      <c r="B11" t="s">
        <v>65</v>
      </c>
      <c r="C11" s="7" t="str">
        <f>INICIO!S11</f>
        <v>`E_RazaoSocial` VARCHAR(50) NULL ,</v>
      </c>
      <c r="D11" t="s">
        <v>64</v>
      </c>
      <c r="F11">
        <f t="shared" si="0"/>
        <v>1</v>
      </c>
      <c r="G11" s="3" t="str">
        <f>IF(INICIO!J11,CONCATENATE("                ",B11,C11,D11),"")</f>
        <v xml:space="preserve">                 + "`E_RazaoSocial` VARCHAR(50) NULL ,"</v>
      </c>
    </row>
    <row r="12" spans="2:7" x14ac:dyDescent="0.25">
      <c r="B12" t="s">
        <v>65</v>
      </c>
      <c r="C12" s="7" t="str">
        <f>INICIO!S12</f>
        <v>`E_CNPJ` VARCHAR(20) NULL ,</v>
      </c>
      <c r="D12" t="s">
        <v>64</v>
      </c>
      <c r="F12">
        <f t="shared" si="0"/>
        <v>1</v>
      </c>
      <c r="G12" s="3" t="str">
        <f>IF(INICIO!J12,CONCATENATE("                ",B12,C12,D12),"")</f>
        <v xml:space="preserve">                 + "`E_CNPJ` VARCHAR(20) NULL ,"</v>
      </c>
    </row>
    <row r="13" spans="2:7" x14ac:dyDescent="0.25">
      <c r="B13" t="s">
        <v>65</v>
      </c>
      <c r="C13" s="7" t="str">
        <f>INICIO!S13</f>
        <v>`E_IE` VARCHAR(20) NULL ,</v>
      </c>
      <c r="D13" t="s">
        <v>64</v>
      </c>
      <c r="F13">
        <f t="shared" si="0"/>
        <v>1</v>
      </c>
      <c r="G13" s="3" t="str">
        <f>IF(INICIO!J13,CONCATENATE("                ",B13,C13,D13),"")</f>
        <v xml:space="preserve">                 + "`E_IE` VARCHAR(20) NULL ,"</v>
      </c>
    </row>
    <row r="14" spans="2:7" x14ac:dyDescent="0.25">
      <c r="B14" t="s">
        <v>65</v>
      </c>
      <c r="C14" s="7" t="str">
        <f>INICIO!S14</f>
        <v>`E_Endereco` VARCHAR(50) NULL ,</v>
      </c>
      <c r="D14" t="s">
        <v>64</v>
      </c>
      <c r="F14">
        <f t="shared" si="0"/>
        <v>1</v>
      </c>
      <c r="G14" s="3" t="str">
        <f>IF(INICIO!J14,CONCATENATE("                ",B14,C14,D14),"")</f>
        <v xml:space="preserve">                 + "`E_Endereco` VARCHAR(50) NULL ,"</v>
      </c>
    </row>
    <row r="15" spans="2:7" x14ac:dyDescent="0.25">
      <c r="B15" t="s">
        <v>65</v>
      </c>
      <c r="C15" s="7" t="str">
        <f>INICIO!S15</f>
        <v>`E_Complemento` VARCHAR(20) NULL ,</v>
      </c>
      <c r="D15" t="s">
        <v>64</v>
      </c>
      <c r="F15">
        <f t="shared" si="0"/>
        <v>1</v>
      </c>
      <c r="G15" s="3" t="str">
        <f>IF(INICIO!J15,CONCATENATE("                ",B15,C15,D15),"")</f>
        <v xml:space="preserve">                 + "`E_Complemento` VARCHAR(20) NULL ,"</v>
      </c>
    </row>
    <row r="16" spans="2:7" x14ac:dyDescent="0.25">
      <c r="B16" t="s">
        <v>65</v>
      </c>
      <c r="C16" s="7" t="str">
        <f>INICIO!S16</f>
        <v>`E_Estado` VARCHAR(2) NULL ,</v>
      </c>
      <c r="D16" t="s">
        <v>64</v>
      </c>
      <c r="F16">
        <f t="shared" si="0"/>
        <v>1</v>
      </c>
      <c r="G16" s="3" t="str">
        <f>IF(INICIO!J16,CONCATENATE("                ",B16,C16,D16),"")</f>
        <v xml:space="preserve">                 + "`E_Estado` VARCHAR(2) NULL ,"</v>
      </c>
    </row>
    <row r="17" spans="2:7" x14ac:dyDescent="0.25">
      <c r="B17" t="s">
        <v>65</v>
      </c>
      <c r="C17" s="7" t="str">
        <f>INICIO!S17</f>
        <v>`E_Telefone` VARCHAR(15) NULL ,</v>
      </c>
      <c r="D17" t="s">
        <v>64</v>
      </c>
      <c r="F17">
        <f t="shared" si="0"/>
        <v>1</v>
      </c>
      <c r="G17" s="3" t="str">
        <f>IF(INICIO!J17,CONCATENATE("                ",B17,C17,D17),"")</f>
        <v xml:space="preserve">                 + "`E_Telefone` VARCHAR(15) NULL ,"</v>
      </c>
    </row>
    <row r="18" spans="2:7" x14ac:dyDescent="0.25">
      <c r="B18" t="s">
        <v>65</v>
      </c>
      <c r="C18" s="7" t="str">
        <f>INICIO!S18</f>
        <v>`E_Email` VARCHAR(50) NULL ,</v>
      </c>
      <c r="D18" t="s">
        <v>64</v>
      </c>
      <c r="F18">
        <f t="shared" si="0"/>
        <v>1</v>
      </c>
      <c r="G18" s="3" t="str">
        <f>IF(INICIO!J18,CONCATENATE("                ",B18,C18,D18),"")</f>
        <v xml:space="preserve">                 + "`E_Email` VARCHAR(50) NULL ,"</v>
      </c>
    </row>
    <row r="19" spans="2:7" hidden="1" x14ac:dyDescent="0.25">
      <c r="B19" t="s">
        <v>65</v>
      </c>
      <c r="C19" s="7" t="str">
        <f>INICIO!S19</f>
        <v/>
      </c>
      <c r="D19" t="s">
        <v>64</v>
      </c>
      <c r="F19">
        <f t="shared" si="0"/>
        <v>0</v>
      </c>
      <c r="G19" s="3" t="str">
        <f>IF(INICIO!J19,CONCATENATE("                ",B19,C19,D19),"")</f>
        <v/>
      </c>
    </row>
    <row r="20" spans="2:7" hidden="1" x14ac:dyDescent="0.25">
      <c r="B20" t="s">
        <v>65</v>
      </c>
      <c r="C20" s="7" t="str">
        <f>INICIO!S20</f>
        <v/>
      </c>
      <c r="D20" t="s">
        <v>64</v>
      </c>
      <c r="F20">
        <f t="shared" si="0"/>
        <v>0</v>
      </c>
      <c r="G20" s="3" t="str">
        <f>IF(INICIO!J20,CONCATENATE("                ",B20,C20,D20),"")</f>
        <v/>
      </c>
    </row>
    <row r="21" spans="2:7" hidden="1" x14ac:dyDescent="0.25">
      <c r="B21" t="s">
        <v>65</v>
      </c>
      <c r="C21" s="7" t="str">
        <f>INICIO!S21</f>
        <v/>
      </c>
      <c r="D21" t="s">
        <v>64</v>
      </c>
      <c r="F21">
        <f t="shared" si="0"/>
        <v>0</v>
      </c>
      <c r="G21" s="3" t="str">
        <f>IF(INICIO!J21,CONCATENATE("                ",B21,C21,D21),"")</f>
        <v/>
      </c>
    </row>
    <row r="22" spans="2:7" hidden="1" x14ac:dyDescent="0.25">
      <c r="B22" t="s">
        <v>65</v>
      </c>
      <c r="C22" s="7" t="str">
        <f>INICIO!S22</f>
        <v/>
      </c>
      <c r="D22" t="s">
        <v>64</v>
      </c>
      <c r="F22">
        <f t="shared" si="0"/>
        <v>0</v>
      </c>
      <c r="G22" s="3" t="str">
        <f>IF(INICIO!J22,CONCATENATE("                ",B22,C22,D22),"")</f>
        <v/>
      </c>
    </row>
    <row r="23" spans="2:7" hidden="1" x14ac:dyDescent="0.25">
      <c r="B23" t="s">
        <v>65</v>
      </c>
      <c r="C23" s="7" t="str">
        <f>INICIO!S23</f>
        <v/>
      </c>
      <c r="D23" t="s">
        <v>64</v>
      </c>
      <c r="F23">
        <f t="shared" si="0"/>
        <v>0</v>
      </c>
      <c r="G23" s="3" t="str">
        <f>IF(INICIO!J23,CONCATENATE("                ",B23,C23,D23),"")</f>
        <v/>
      </c>
    </row>
    <row r="24" spans="2:7" hidden="1" x14ac:dyDescent="0.25">
      <c r="B24" t="s">
        <v>65</v>
      </c>
      <c r="C24" s="7" t="str">
        <f>INICIO!S24</f>
        <v/>
      </c>
      <c r="D24" t="s">
        <v>64</v>
      </c>
      <c r="F24">
        <f t="shared" si="0"/>
        <v>0</v>
      </c>
      <c r="G24" s="3" t="str">
        <f>IF(INICIO!J24,CONCATENATE("                ",B24,C24,D24),"")</f>
        <v/>
      </c>
    </row>
    <row r="25" spans="2:7" hidden="1" x14ac:dyDescent="0.25">
      <c r="B25" t="s">
        <v>65</v>
      </c>
      <c r="C25" s="7" t="str">
        <f>INICIO!S25</f>
        <v/>
      </c>
      <c r="D25" t="s">
        <v>64</v>
      </c>
      <c r="F25">
        <f t="shared" si="0"/>
        <v>0</v>
      </c>
      <c r="G25" s="3" t="str">
        <f>IF(INICIO!J25,CONCATENATE("                ",B25,C25,D25),"")</f>
        <v/>
      </c>
    </row>
    <row r="26" spans="2:7" hidden="1" x14ac:dyDescent="0.25">
      <c r="B26" t="s">
        <v>65</v>
      </c>
      <c r="C26" s="7" t="str">
        <f>INICIO!S26</f>
        <v/>
      </c>
      <c r="D26" t="s">
        <v>64</v>
      </c>
      <c r="F26">
        <f t="shared" si="0"/>
        <v>0</v>
      </c>
      <c r="G26" s="3" t="str">
        <f>IF(INICIO!J26,CONCATENATE("                ",B26,C26,D26),"")</f>
        <v/>
      </c>
    </row>
    <row r="27" spans="2:7" hidden="1" x14ac:dyDescent="0.25">
      <c r="B27" t="s">
        <v>65</v>
      </c>
      <c r="C27" s="7" t="str">
        <f>INICIO!S27</f>
        <v/>
      </c>
      <c r="D27" t="s">
        <v>64</v>
      </c>
      <c r="F27">
        <f t="shared" si="0"/>
        <v>0</v>
      </c>
      <c r="G27" s="3" t="str">
        <f>IF(INICIO!J27,CONCATENATE("                ",B27,C27,D27),"")</f>
        <v/>
      </c>
    </row>
    <row r="28" spans="2:7" hidden="1" x14ac:dyDescent="0.25">
      <c r="B28" t="s">
        <v>65</v>
      </c>
      <c r="C28" s="7" t="str">
        <f>INICIO!S28</f>
        <v/>
      </c>
      <c r="D28" t="s">
        <v>64</v>
      </c>
      <c r="F28">
        <f t="shared" si="0"/>
        <v>0</v>
      </c>
      <c r="G28" s="3" t="str">
        <f>IF(INICIO!J28,CONCATENATE("                ",B28,C28,D28),"")</f>
        <v/>
      </c>
    </row>
    <row r="29" spans="2:7" hidden="1" x14ac:dyDescent="0.25">
      <c r="B29" t="s">
        <v>65</v>
      </c>
      <c r="C29" s="7" t="str">
        <f>INICIO!S29</f>
        <v/>
      </c>
      <c r="D29" t="s">
        <v>64</v>
      </c>
      <c r="F29">
        <f t="shared" si="0"/>
        <v>0</v>
      </c>
      <c r="G29" s="3" t="str">
        <f>IF(INICIO!J29,CONCATENATE("                ",B29,C29,D29),"")</f>
        <v/>
      </c>
    </row>
    <row r="30" spans="2:7" hidden="1" x14ac:dyDescent="0.25">
      <c r="B30" t="s">
        <v>65</v>
      </c>
      <c r="C30" s="7" t="str">
        <f>INICIO!S30</f>
        <v/>
      </c>
      <c r="D30" t="s">
        <v>64</v>
      </c>
      <c r="F30">
        <f t="shared" si="0"/>
        <v>0</v>
      </c>
      <c r="G30" s="3" t="str">
        <f>IF(INICIO!J30,CONCATENATE("                ",B30,C30,D30),"")</f>
        <v/>
      </c>
    </row>
    <row r="31" spans="2:7" hidden="1" x14ac:dyDescent="0.25">
      <c r="B31" t="s">
        <v>65</v>
      </c>
      <c r="C31" s="7" t="str">
        <f>INICIO!S31</f>
        <v/>
      </c>
      <c r="D31" t="s">
        <v>64</v>
      </c>
      <c r="F31">
        <f t="shared" si="0"/>
        <v>0</v>
      </c>
      <c r="G31" s="3" t="str">
        <f>IF(INICIO!J31,CONCATENATE("                ",B31,C31,D31),"")</f>
        <v/>
      </c>
    </row>
    <row r="32" spans="2:7" hidden="1" x14ac:dyDescent="0.25">
      <c r="B32" t="s">
        <v>65</v>
      </c>
      <c r="C32" s="7" t="str">
        <f>INICIO!S32</f>
        <v/>
      </c>
      <c r="D32" t="s">
        <v>64</v>
      </c>
      <c r="F32">
        <f t="shared" si="0"/>
        <v>0</v>
      </c>
      <c r="G32" s="3" t="str">
        <f>IF(INICIO!J32,CONCATENATE("                ",B32,C32,D32),"")</f>
        <v/>
      </c>
    </row>
    <row r="33" spans="2:7" hidden="1" x14ac:dyDescent="0.25">
      <c r="B33" t="s">
        <v>65</v>
      </c>
      <c r="C33" s="7" t="str">
        <f>INICIO!S33</f>
        <v/>
      </c>
      <c r="D33" t="s">
        <v>64</v>
      </c>
      <c r="F33">
        <f t="shared" si="0"/>
        <v>0</v>
      </c>
      <c r="G33" s="3" t="str">
        <f>IF(INICIO!J33,CONCATENATE("                ",B33,C33,D33),"")</f>
        <v/>
      </c>
    </row>
    <row r="34" spans="2:7" hidden="1" x14ac:dyDescent="0.25">
      <c r="B34" t="s">
        <v>65</v>
      </c>
      <c r="C34" s="7" t="str">
        <f>INICIO!S34</f>
        <v/>
      </c>
      <c r="D34" t="s">
        <v>64</v>
      </c>
      <c r="F34">
        <f t="shared" si="0"/>
        <v>0</v>
      </c>
      <c r="G34" s="3" t="str">
        <f>IF(INICIO!J34,CONCATENATE("                ",B34,C34,D34),"")</f>
        <v/>
      </c>
    </row>
    <row r="35" spans="2:7" hidden="1" x14ac:dyDescent="0.25">
      <c r="B35" t="s">
        <v>65</v>
      </c>
      <c r="C35" s="7" t="str">
        <f>INICIO!S35</f>
        <v/>
      </c>
      <c r="D35" t="s">
        <v>64</v>
      </c>
      <c r="F35">
        <f t="shared" si="0"/>
        <v>0</v>
      </c>
      <c r="G35" s="3" t="str">
        <f>IF(INICIO!J35,CONCATENATE("                ",B35,C35,D35),"")</f>
        <v/>
      </c>
    </row>
    <row r="36" spans="2:7" hidden="1" x14ac:dyDescent="0.25">
      <c r="B36" t="s">
        <v>65</v>
      </c>
      <c r="C36" s="7" t="str">
        <f>INICIO!S36</f>
        <v/>
      </c>
      <c r="D36" t="s">
        <v>64</v>
      </c>
      <c r="F36">
        <f t="shared" si="0"/>
        <v>0</v>
      </c>
      <c r="G36" s="3" t="str">
        <f>IF(INICIO!J36,CONCATENATE("                ",B36,C36,D36),"")</f>
        <v/>
      </c>
    </row>
    <row r="37" spans="2:7" hidden="1" x14ac:dyDescent="0.25">
      <c r="B37" t="s">
        <v>65</v>
      </c>
      <c r="C37" s="7" t="str">
        <f>INICIO!S37</f>
        <v/>
      </c>
      <c r="D37" t="s">
        <v>64</v>
      </c>
      <c r="F37">
        <f t="shared" si="0"/>
        <v>0</v>
      </c>
      <c r="G37" s="3" t="str">
        <f>IF(INICIO!J37,CONCATENATE("                ",B37,C37,D37),"")</f>
        <v/>
      </c>
    </row>
    <row r="38" spans="2:7" hidden="1" x14ac:dyDescent="0.25">
      <c r="B38" t="s">
        <v>65</v>
      </c>
      <c r="C38" s="7" t="str">
        <f>INICIO!S38</f>
        <v/>
      </c>
      <c r="D38" t="s">
        <v>64</v>
      </c>
      <c r="F38">
        <f t="shared" si="0"/>
        <v>0</v>
      </c>
      <c r="G38" s="3" t="str">
        <f>IF(INICIO!J38,CONCATENATE("                ",B38,C38,D38),"")</f>
        <v/>
      </c>
    </row>
    <row r="39" spans="2:7" hidden="1" x14ac:dyDescent="0.25">
      <c r="B39" t="s">
        <v>65</v>
      </c>
      <c r="C39" s="7" t="str">
        <f>INICIO!S39</f>
        <v/>
      </c>
      <c r="D39" t="s">
        <v>64</v>
      </c>
      <c r="F39">
        <f t="shared" si="0"/>
        <v>0</v>
      </c>
      <c r="G39" s="3" t="str">
        <f>IF(INICIO!J39,CONCATENATE("                ",B39,C39,D39),"")</f>
        <v/>
      </c>
    </row>
    <row r="40" spans="2:7" hidden="1" x14ac:dyDescent="0.25">
      <c r="B40" t="s">
        <v>65</v>
      </c>
      <c r="C40" s="7" t="str">
        <f>INICIO!S40</f>
        <v/>
      </c>
      <c r="D40" t="s">
        <v>64</v>
      </c>
      <c r="F40">
        <f t="shared" si="0"/>
        <v>0</v>
      </c>
      <c r="G40" s="3" t="str">
        <f>IF(INICIO!J40,CONCATENATE("                ",B40,C40,D40),"")</f>
        <v/>
      </c>
    </row>
    <row r="41" spans="2:7" hidden="1" x14ac:dyDescent="0.25">
      <c r="B41" t="s">
        <v>65</v>
      </c>
      <c r="C41" s="7" t="str">
        <f>INICIO!S41</f>
        <v/>
      </c>
      <c r="D41" t="s">
        <v>64</v>
      </c>
      <c r="F41">
        <f t="shared" si="0"/>
        <v>0</v>
      </c>
      <c r="G41" s="3" t="str">
        <f>IF(INICIO!J41,CONCATENATE("                ",B41,C41,D41),"")</f>
        <v/>
      </c>
    </row>
    <row r="42" spans="2:7" hidden="1" x14ac:dyDescent="0.25">
      <c r="B42" t="s">
        <v>65</v>
      </c>
      <c r="C42" s="7" t="str">
        <f>INICIO!S42</f>
        <v/>
      </c>
      <c r="D42" t="s">
        <v>64</v>
      </c>
      <c r="F42">
        <f t="shared" si="0"/>
        <v>0</v>
      </c>
      <c r="G42" s="3" t="str">
        <f>IF(INICIO!J42,CONCATENATE("                ",B42,C42,D42),"")</f>
        <v/>
      </c>
    </row>
    <row r="43" spans="2:7" hidden="1" x14ac:dyDescent="0.25">
      <c r="B43" t="s">
        <v>65</v>
      </c>
      <c r="C43" s="7" t="str">
        <f>INICIO!S43</f>
        <v/>
      </c>
      <c r="D43" t="s">
        <v>64</v>
      </c>
      <c r="F43">
        <f t="shared" si="0"/>
        <v>0</v>
      </c>
      <c r="G43" s="3" t="str">
        <f>IF(INICIO!J43,CONCATENATE("                ",B43,C43,D43),"")</f>
        <v/>
      </c>
    </row>
    <row r="44" spans="2:7" hidden="1" x14ac:dyDescent="0.25">
      <c r="B44" t="s">
        <v>65</v>
      </c>
      <c r="C44" s="7" t="str">
        <f>INICIO!S44</f>
        <v/>
      </c>
      <c r="D44" t="s">
        <v>64</v>
      </c>
      <c r="F44">
        <f t="shared" si="0"/>
        <v>0</v>
      </c>
      <c r="G44" s="3" t="str">
        <f>IF(INICIO!J44,CONCATENATE("                ",B44,C44,D44),"")</f>
        <v/>
      </c>
    </row>
    <row r="45" spans="2:7" hidden="1" x14ac:dyDescent="0.25">
      <c r="B45" t="s">
        <v>65</v>
      </c>
      <c r="C45" s="7" t="str">
        <f>INICIO!S45</f>
        <v/>
      </c>
      <c r="D45" t="s">
        <v>64</v>
      </c>
      <c r="F45">
        <f t="shared" si="0"/>
        <v>0</v>
      </c>
      <c r="G45" s="3" t="str">
        <f>IF(INICIO!J45,CONCATENATE("                ",B45,C45,D45),"")</f>
        <v/>
      </c>
    </row>
    <row r="46" spans="2:7" hidden="1" x14ac:dyDescent="0.25">
      <c r="B46" t="s">
        <v>65</v>
      </c>
      <c r="C46" s="7" t="str">
        <f>INICIO!S46</f>
        <v/>
      </c>
      <c r="D46" t="s">
        <v>64</v>
      </c>
      <c r="F46">
        <f t="shared" si="0"/>
        <v>0</v>
      </c>
      <c r="G46" s="3" t="str">
        <f>IF(INICIO!J46,CONCATENATE("                ",B46,C46,D46),"")</f>
        <v/>
      </c>
    </row>
    <row r="47" spans="2:7" hidden="1" x14ac:dyDescent="0.25">
      <c r="B47" t="s">
        <v>65</v>
      </c>
      <c r="C47" s="7" t="str">
        <f>INICIO!S47</f>
        <v/>
      </c>
      <c r="D47" t="s">
        <v>64</v>
      </c>
      <c r="F47">
        <f t="shared" si="0"/>
        <v>0</v>
      </c>
      <c r="G47" s="3" t="str">
        <f>IF(INICIO!J47,CONCATENATE("                ",B47,C47,D47),"")</f>
        <v/>
      </c>
    </row>
    <row r="48" spans="2:7" hidden="1" x14ac:dyDescent="0.25">
      <c r="B48" t="s">
        <v>65</v>
      </c>
      <c r="C48" s="7" t="str">
        <f>INICIO!S48</f>
        <v/>
      </c>
      <c r="D48" t="s">
        <v>64</v>
      </c>
      <c r="F48">
        <f t="shared" si="0"/>
        <v>0</v>
      </c>
      <c r="G48" s="3" t="str">
        <f>IF(INICIO!J48,CONCATENATE("                ",B48,C48,D48),"")</f>
        <v/>
      </c>
    </row>
    <row r="49" spans="2:7" hidden="1" x14ac:dyDescent="0.25">
      <c r="B49" t="s">
        <v>65</v>
      </c>
      <c r="C49" s="7" t="str">
        <f>INICIO!S49</f>
        <v/>
      </c>
      <c r="D49" t="s">
        <v>64</v>
      </c>
      <c r="F49">
        <f t="shared" si="0"/>
        <v>0</v>
      </c>
      <c r="G49" s="3" t="str">
        <f>IF(INICIO!J49,CONCATENATE("                ",B49,C49,D49),"")</f>
        <v/>
      </c>
    </row>
    <row r="50" spans="2:7" hidden="1" x14ac:dyDescent="0.25">
      <c r="B50" t="s">
        <v>65</v>
      </c>
      <c r="C50" s="7" t="str">
        <f>INICIO!S50</f>
        <v/>
      </c>
      <c r="D50" t="s">
        <v>64</v>
      </c>
      <c r="F50">
        <f t="shared" si="0"/>
        <v>0</v>
      </c>
      <c r="G50" s="3" t="str">
        <f>IF(INICIO!J50,CONCATENATE("                ",B50,C50,D50),"")</f>
        <v/>
      </c>
    </row>
    <row r="51" spans="2:7" hidden="1" x14ac:dyDescent="0.25">
      <c r="B51" t="s">
        <v>65</v>
      </c>
      <c r="C51" s="7" t="str">
        <f>INICIO!S51</f>
        <v/>
      </c>
      <c r="D51" t="s">
        <v>64</v>
      </c>
      <c r="F51">
        <f t="shared" si="0"/>
        <v>0</v>
      </c>
      <c r="G51" s="3" t="str">
        <f>IF(INICIO!J51,CONCATENATE("                ",B51,C51,D51),"")</f>
        <v/>
      </c>
    </row>
    <row r="52" spans="2:7" hidden="1" x14ac:dyDescent="0.25">
      <c r="B52" t="s">
        <v>65</v>
      </c>
      <c r="C52" s="7" t="str">
        <f>INICIO!S52</f>
        <v/>
      </c>
      <c r="D52" t="s">
        <v>64</v>
      </c>
      <c r="F52">
        <f t="shared" si="0"/>
        <v>0</v>
      </c>
      <c r="G52" s="3" t="str">
        <f>IF(INICIO!J52,CONCATENATE("                ",B52,C52,D52),"")</f>
        <v/>
      </c>
    </row>
    <row r="53" spans="2:7" hidden="1" x14ac:dyDescent="0.25">
      <c r="B53" t="s">
        <v>65</v>
      </c>
      <c r="C53" s="7" t="str">
        <f>INICIO!S53</f>
        <v/>
      </c>
      <c r="D53" t="s">
        <v>64</v>
      </c>
      <c r="F53">
        <f t="shared" si="0"/>
        <v>0</v>
      </c>
      <c r="G53" s="3" t="str">
        <f>IF(INICIO!J53,CONCATENATE("                ",B53,C53,D53),"")</f>
        <v/>
      </c>
    </row>
    <row r="54" spans="2:7" hidden="1" x14ac:dyDescent="0.25">
      <c r="B54" t="s">
        <v>65</v>
      </c>
      <c r="C54" s="7" t="str">
        <f>INICIO!S54</f>
        <v/>
      </c>
      <c r="D54" t="s">
        <v>64</v>
      </c>
      <c r="F54">
        <f t="shared" si="0"/>
        <v>0</v>
      </c>
      <c r="G54" s="3" t="str">
        <f>IF(INICIO!J54,CONCATENATE("                ",B54,C54,D54),"")</f>
        <v/>
      </c>
    </row>
    <row r="55" spans="2:7" hidden="1" x14ac:dyDescent="0.25">
      <c r="B55" t="s">
        <v>65</v>
      </c>
      <c r="C55" s="7" t="str">
        <f>INICIO!S55</f>
        <v/>
      </c>
      <c r="D55" t="s">
        <v>64</v>
      </c>
      <c r="F55">
        <f t="shared" si="0"/>
        <v>0</v>
      </c>
      <c r="G55" s="3" t="str">
        <f>IF(INICIO!J55,CONCATENATE("                ",B55,C55,D55),"")</f>
        <v/>
      </c>
    </row>
    <row r="56" spans="2:7" hidden="1" x14ac:dyDescent="0.25">
      <c r="B56" t="s">
        <v>65</v>
      </c>
      <c r="C56" s="7" t="str">
        <f>INICIO!S56</f>
        <v/>
      </c>
      <c r="D56" t="s">
        <v>64</v>
      </c>
      <c r="F56">
        <f t="shared" si="0"/>
        <v>0</v>
      </c>
      <c r="G56" s="3" t="str">
        <f>IF(INICIO!J56,CONCATENATE("                ",B56,C56,D56),"")</f>
        <v/>
      </c>
    </row>
    <row r="57" spans="2:7" hidden="1" x14ac:dyDescent="0.25">
      <c r="B57" t="s">
        <v>65</v>
      </c>
      <c r="C57" s="7" t="str">
        <f>INICIO!S57</f>
        <v/>
      </c>
      <c r="D57" t="s">
        <v>64</v>
      </c>
      <c r="F57">
        <f t="shared" si="0"/>
        <v>0</v>
      </c>
      <c r="G57" s="3" t="str">
        <f>IF(INICIO!J57,CONCATENATE("                ",B57,C57,D57),"")</f>
        <v/>
      </c>
    </row>
    <row r="58" spans="2:7" hidden="1" x14ac:dyDescent="0.25">
      <c r="B58" t="s">
        <v>65</v>
      </c>
      <c r="C58" s="7" t="str">
        <f>INICIO!S58</f>
        <v/>
      </c>
      <c r="D58" t="s">
        <v>64</v>
      </c>
      <c r="F58">
        <f t="shared" si="0"/>
        <v>0</v>
      </c>
      <c r="G58" s="3" t="str">
        <f>IF(INICIO!J58,CONCATENATE("                ",B58,C58,D58),"")</f>
        <v/>
      </c>
    </row>
    <row r="59" spans="2:7" hidden="1" x14ac:dyDescent="0.25">
      <c r="B59" t="s">
        <v>65</v>
      </c>
      <c r="C59" s="7" t="str">
        <f>INICIO!S59</f>
        <v/>
      </c>
      <c r="D59" t="s">
        <v>64</v>
      </c>
      <c r="F59">
        <f t="shared" si="0"/>
        <v>0</v>
      </c>
      <c r="G59" s="3" t="str">
        <f>IF(INICIO!J59,CONCATENATE("                ",B59,C59,D59),"")</f>
        <v/>
      </c>
    </row>
    <row r="60" spans="2:7" hidden="1" x14ac:dyDescent="0.25">
      <c r="B60" t="s">
        <v>65</v>
      </c>
      <c r="C60" s="7" t="str">
        <f>INICIO!S60</f>
        <v/>
      </c>
      <c r="D60" t="s">
        <v>64</v>
      </c>
      <c r="F60">
        <f t="shared" si="0"/>
        <v>0</v>
      </c>
      <c r="G60" s="3" t="str">
        <f>IF(INICIO!J60,CONCATENATE("                ",B60,C60,D60),"")</f>
        <v/>
      </c>
    </row>
    <row r="61" spans="2:7" hidden="1" x14ac:dyDescent="0.25">
      <c r="B61" t="s">
        <v>65</v>
      </c>
      <c r="C61" s="7" t="str">
        <f>INICIO!S61</f>
        <v/>
      </c>
      <c r="D61" t="s">
        <v>64</v>
      </c>
      <c r="F61">
        <f t="shared" si="0"/>
        <v>0</v>
      </c>
      <c r="G61" s="3" t="str">
        <f>IF(INICIO!J61,CONCATENATE("                ",B61,C61,D61),"")</f>
        <v/>
      </c>
    </row>
    <row r="62" spans="2:7" hidden="1" x14ac:dyDescent="0.25">
      <c r="B62" t="s">
        <v>65</v>
      </c>
      <c r="C62" s="7" t="str">
        <f>INICIO!S62</f>
        <v/>
      </c>
      <c r="D62" t="s">
        <v>64</v>
      </c>
      <c r="F62">
        <f t="shared" si="0"/>
        <v>0</v>
      </c>
      <c r="G62" s="3" t="str">
        <f>IF(INICIO!J62,CONCATENATE("                ",B62,C62,D62),"")</f>
        <v/>
      </c>
    </row>
    <row r="63" spans="2:7" hidden="1" x14ac:dyDescent="0.25">
      <c r="B63" t="s">
        <v>65</v>
      </c>
      <c r="C63" s="7" t="str">
        <f>INICIO!S63</f>
        <v/>
      </c>
      <c r="D63" t="s">
        <v>64</v>
      </c>
      <c r="F63">
        <f t="shared" si="0"/>
        <v>0</v>
      </c>
      <c r="G63" s="3" t="str">
        <f>IF(INICIO!J63,CONCATENATE("                ",B63,C63,D63),"")</f>
        <v/>
      </c>
    </row>
    <row r="64" spans="2:7" hidden="1" x14ac:dyDescent="0.25">
      <c r="B64" t="s">
        <v>65</v>
      </c>
      <c r="C64" s="7" t="str">
        <f>INICIO!S64</f>
        <v/>
      </c>
      <c r="D64" t="s">
        <v>64</v>
      </c>
      <c r="F64">
        <f t="shared" si="0"/>
        <v>0</v>
      </c>
      <c r="G64" s="3" t="str">
        <f>IF(INICIO!J64,CONCATENATE("                ",B64,C64,D64),"")</f>
        <v/>
      </c>
    </row>
    <row r="65" spans="2:7" hidden="1" x14ac:dyDescent="0.25">
      <c r="B65" t="s">
        <v>65</v>
      </c>
      <c r="C65" s="7" t="str">
        <f>INICIO!S65</f>
        <v/>
      </c>
      <c r="D65" t="s">
        <v>64</v>
      </c>
      <c r="F65">
        <f t="shared" si="0"/>
        <v>0</v>
      </c>
      <c r="G65" s="3" t="str">
        <f>IF(INICIO!J65,CONCATENATE("                ",B65,C65,D65),"")</f>
        <v/>
      </c>
    </row>
    <row r="66" spans="2:7" hidden="1" x14ac:dyDescent="0.25">
      <c r="B66" t="s">
        <v>65</v>
      </c>
      <c r="C66" s="7" t="str">
        <f>INICIO!S66</f>
        <v/>
      </c>
      <c r="D66" t="s">
        <v>64</v>
      </c>
      <c r="F66">
        <f t="shared" si="0"/>
        <v>0</v>
      </c>
      <c r="G66" s="3" t="str">
        <f>IF(INICIO!J66,CONCATENATE("                ",B66,C66,D66),"")</f>
        <v/>
      </c>
    </row>
    <row r="67" spans="2:7" hidden="1" x14ac:dyDescent="0.25">
      <c r="B67" t="s">
        <v>65</v>
      </c>
      <c r="C67" s="7" t="str">
        <f>INICIO!S67</f>
        <v/>
      </c>
      <c r="D67" t="s">
        <v>64</v>
      </c>
      <c r="F67">
        <f t="shared" ref="F67:F113" si="1">IF(G67&lt;&gt;"",1,0)</f>
        <v>0</v>
      </c>
      <c r="G67" s="3" t="str">
        <f>IF(INICIO!J67,CONCATENATE("                ",B67,C67,D67),"")</f>
        <v/>
      </c>
    </row>
    <row r="68" spans="2:7" hidden="1" x14ac:dyDescent="0.25">
      <c r="B68" t="s">
        <v>65</v>
      </c>
      <c r="C68" s="7" t="str">
        <f>INICIO!S68</f>
        <v/>
      </c>
      <c r="D68" t="s">
        <v>64</v>
      </c>
      <c r="F68">
        <f t="shared" si="1"/>
        <v>0</v>
      </c>
      <c r="G68" s="3" t="str">
        <f>IF(INICIO!J68,CONCATENATE("                ",B68,C68,D68),"")</f>
        <v/>
      </c>
    </row>
    <row r="69" spans="2:7" hidden="1" x14ac:dyDescent="0.25">
      <c r="B69" t="s">
        <v>65</v>
      </c>
      <c r="C69" s="7" t="str">
        <f>INICIO!S69</f>
        <v/>
      </c>
      <c r="D69" t="s">
        <v>64</v>
      </c>
      <c r="F69">
        <f t="shared" si="1"/>
        <v>0</v>
      </c>
      <c r="G69" s="3" t="str">
        <f>IF(INICIO!J69,CONCATENATE("                ",B69,C69,D69),"")</f>
        <v/>
      </c>
    </row>
    <row r="70" spans="2:7" hidden="1" x14ac:dyDescent="0.25">
      <c r="B70" t="s">
        <v>65</v>
      </c>
      <c r="C70" s="7" t="str">
        <f>INICIO!S70</f>
        <v/>
      </c>
      <c r="D70" t="s">
        <v>64</v>
      </c>
      <c r="F70">
        <f t="shared" si="1"/>
        <v>0</v>
      </c>
      <c r="G70" s="3" t="str">
        <f>IF(INICIO!J70,CONCATENATE("                ",B70,C70,D70),"")</f>
        <v/>
      </c>
    </row>
    <row r="71" spans="2:7" hidden="1" x14ac:dyDescent="0.25">
      <c r="B71" t="s">
        <v>65</v>
      </c>
      <c r="C71" s="7" t="str">
        <f>INICIO!S71</f>
        <v/>
      </c>
      <c r="D71" t="s">
        <v>64</v>
      </c>
      <c r="F71">
        <f t="shared" si="1"/>
        <v>0</v>
      </c>
      <c r="G71" s="3" t="str">
        <f>IF(INICIO!J71,CONCATENATE("                ",B71,C71,D71),"")</f>
        <v/>
      </c>
    </row>
    <row r="72" spans="2:7" hidden="1" x14ac:dyDescent="0.25">
      <c r="B72" t="s">
        <v>65</v>
      </c>
      <c r="C72" s="7" t="str">
        <f>INICIO!S72</f>
        <v/>
      </c>
      <c r="D72" t="s">
        <v>64</v>
      </c>
      <c r="F72">
        <f t="shared" si="1"/>
        <v>0</v>
      </c>
      <c r="G72" s="3" t="str">
        <f>IF(INICIO!J72,CONCATENATE("                ",B72,C72,D72),"")</f>
        <v/>
      </c>
    </row>
    <row r="73" spans="2:7" hidden="1" x14ac:dyDescent="0.25">
      <c r="B73" t="s">
        <v>65</v>
      </c>
      <c r="C73" s="7" t="str">
        <f>INICIO!S73</f>
        <v/>
      </c>
      <c r="D73" t="s">
        <v>64</v>
      </c>
      <c r="F73">
        <f t="shared" si="1"/>
        <v>0</v>
      </c>
      <c r="G73" s="3" t="str">
        <f>IF(INICIO!J73,CONCATENATE("                ",B73,C73,D73),"")</f>
        <v/>
      </c>
    </row>
    <row r="74" spans="2:7" hidden="1" x14ac:dyDescent="0.25">
      <c r="B74" t="s">
        <v>65</v>
      </c>
      <c r="C74" s="7" t="str">
        <f>INICIO!S74</f>
        <v/>
      </c>
      <c r="D74" t="s">
        <v>64</v>
      </c>
      <c r="F74">
        <f t="shared" si="1"/>
        <v>0</v>
      </c>
      <c r="G74" s="3" t="str">
        <f>IF(INICIO!J74,CONCATENATE("                ",B74,C74,D74),"")</f>
        <v/>
      </c>
    </row>
    <row r="75" spans="2:7" hidden="1" x14ac:dyDescent="0.25">
      <c r="B75" t="s">
        <v>65</v>
      </c>
      <c r="C75" s="7" t="str">
        <f>INICIO!S75</f>
        <v/>
      </c>
      <c r="D75" t="s">
        <v>64</v>
      </c>
      <c r="F75">
        <f t="shared" si="1"/>
        <v>0</v>
      </c>
      <c r="G75" s="3" t="str">
        <f>IF(INICIO!J75,CONCATENATE("                ",B75,C75,D75),"")</f>
        <v/>
      </c>
    </row>
    <row r="76" spans="2:7" hidden="1" x14ac:dyDescent="0.25">
      <c r="B76" t="s">
        <v>65</v>
      </c>
      <c r="C76" s="7" t="str">
        <f>INICIO!S76</f>
        <v/>
      </c>
      <c r="D76" t="s">
        <v>64</v>
      </c>
      <c r="F76">
        <f t="shared" si="1"/>
        <v>0</v>
      </c>
      <c r="G76" s="3" t="str">
        <f>IF(INICIO!J76,CONCATENATE("                ",B76,C76,D76),"")</f>
        <v/>
      </c>
    </row>
    <row r="77" spans="2:7" hidden="1" x14ac:dyDescent="0.25">
      <c r="B77" t="s">
        <v>65</v>
      </c>
      <c r="C77" s="7" t="str">
        <f>INICIO!S77</f>
        <v/>
      </c>
      <c r="D77" t="s">
        <v>64</v>
      </c>
      <c r="F77">
        <f t="shared" si="1"/>
        <v>0</v>
      </c>
      <c r="G77" s="3" t="str">
        <f>IF(INICIO!J77,CONCATENATE("                ",B77,C77,D77),"")</f>
        <v/>
      </c>
    </row>
    <row r="78" spans="2:7" hidden="1" x14ac:dyDescent="0.25">
      <c r="B78" t="s">
        <v>65</v>
      </c>
      <c r="C78" s="7" t="str">
        <f>INICIO!S78</f>
        <v/>
      </c>
      <c r="D78" t="s">
        <v>64</v>
      </c>
      <c r="F78">
        <f t="shared" si="1"/>
        <v>0</v>
      </c>
      <c r="G78" s="3" t="str">
        <f>IF(INICIO!J78,CONCATENATE("                ",B78,C78,D78),"")</f>
        <v/>
      </c>
    </row>
    <row r="79" spans="2:7" hidden="1" x14ac:dyDescent="0.25">
      <c r="B79" t="s">
        <v>65</v>
      </c>
      <c r="C79" s="7" t="str">
        <f>INICIO!S79</f>
        <v/>
      </c>
      <c r="D79" t="s">
        <v>64</v>
      </c>
      <c r="F79">
        <f t="shared" si="1"/>
        <v>0</v>
      </c>
      <c r="G79" s="3" t="str">
        <f>IF(INICIO!J79,CONCATENATE("                ",B79,C79,D79),"")</f>
        <v/>
      </c>
    </row>
    <row r="80" spans="2:7" hidden="1" x14ac:dyDescent="0.25">
      <c r="B80" t="s">
        <v>65</v>
      </c>
      <c r="C80" s="7" t="str">
        <f>INICIO!S80</f>
        <v/>
      </c>
      <c r="D80" t="s">
        <v>64</v>
      </c>
      <c r="F80">
        <f t="shared" si="1"/>
        <v>0</v>
      </c>
      <c r="G80" s="3" t="str">
        <f>IF(INICIO!J80,CONCATENATE("                ",B80,C80,D80),"")</f>
        <v/>
      </c>
    </row>
    <row r="81" spans="2:7" hidden="1" x14ac:dyDescent="0.25">
      <c r="B81" t="s">
        <v>65</v>
      </c>
      <c r="C81" s="7" t="str">
        <f>INICIO!S81</f>
        <v/>
      </c>
      <c r="D81" t="s">
        <v>64</v>
      </c>
      <c r="F81">
        <f t="shared" si="1"/>
        <v>0</v>
      </c>
      <c r="G81" s="3" t="str">
        <f>IF(INICIO!J81,CONCATENATE("                ",B81,C81,D81),"")</f>
        <v/>
      </c>
    </row>
    <row r="82" spans="2:7" hidden="1" x14ac:dyDescent="0.25">
      <c r="B82" t="s">
        <v>65</v>
      </c>
      <c r="C82" s="7" t="str">
        <f>INICIO!S82</f>
        <v/>
      </c>
      <c r="D82" t="s">
        <v>64</v>
      </c>
      <c r="F82">
        <f t="shared" si="1"/>
        <v>0</v>
      </c>
      <c r="G82" s="3" t="str">
        <f>IF(INICIO!J82,CONCATENATE("                ",B82,C82,D82),"")</f>
        <v/>
      </c>
    </row>
    <row r="83" spans="2:7" hidden="1" x14ac:dyDescent="0.25">
      <c r="B83" t="s">
        <v>65</v>
      </c>
      <c r="C83" s="7" t="str">
        <f>INICIO!S83</f>
        <v/>
      </c>
      <c r="D83" t="s">
        <v>64</v>
      </c>
      <c r="F83">
        <f t="shared" si="1"/>
        <v>0</v>
      </c>
      <c r="G83" s="3" t="str">
        <f>IF(INICIO!J83,CONCATENATE("                ",B83,C83,D83),"")</f>
        <v/>
      </c>
    </row>
    <row r="84" spans="2:7" hidden="1" x14ac:dyDescent="0.25">
      <c r="B84" t="s">
        <v>65</v>
      </c>
      <c r="C84" s="7" t="str">
        <f>INICIO!S84</f>
        <v/>
      </c>
      <c r="D84" t="s">
        <v>64</v>
      </c>
      <c r="F84">
        <f t="shared" si="1"/>
        <v>0</v>
      </c>
      <c r="G84" s="3" t="str">
        <f>IF(INICIO!J84,CONCATENATE("                ",B84,C84,D84),"")</f>
        <v/>
      </c>
    </row>
    <row r="85" spans="2:7" hidden="1" x14ac:dyDescent="0.25">
      <c r="B85" t="s">
        <v>65</v>
      </c>
      <c r="C85" s="7" t="str">
        <f>INICIO!S85</f>
        <v/>
      </c>
      <c r="D85" t="s">
        <v>64</v>
      </c>
      <c r="F85">
        <f t="shared" si="1"/>
        <v>0</v>
      </c>
      <c r="G85" s="3" t="str">
        <f>IF(INICIO!J85,CONCATENATE("                ",B85,C85,D85),"")</f>
        <v/>
      </c>
    </row>
    <row r="86" spans="2:7" hidden="1" x14ac:dyDescent="0.25">
      <c r="B86" t="s">
        <v>65</v>
      </c>
      <c r="C86" s="7" t="str">
        <f>INICIO!S86</f>
        <v/>
      </c>
      <c r="D86" t="s">
        <v>64</v>
      </c>
      <c r="F86">
        <f t="shared" si="1"/>
        <v>0</v>
      </c>
      <c r="G86" s="3" t="str">
        <f>IF(INICIO!J86,CONCATENATE("                ",B86,C86,D86),"")</f>
        <v/>
      </c>
    </row>
    <row r="87" spans="2:7" hidden="1" x14ac:dyDescent="0.25">
      <c r="B87" t="s">
        <v>65</v>
      </c>
      <c r="C87" s="7" t="str">
        <f>INICIO!S87</f>
        <v/>
      </c>
      <c r="D87" t="s">
        <v>64</v>
      </c>
      <c r="F87">
        <f t="shared" si="1"/>
        <v>0</v>
      </c>
      <c r="G87" s="3" t="str">
        <f>IF(INICIO!J87,CONCATENATE("                ",B87,C87,D87),"")</f>
        <v/>
      </c>
    </row>
    <row r="88" spans="2:7" hidden="1" x14ac:dyDescent="0.25">
      <c r="B88" t="s">
        <v>65</v>
      </c>
      <c r="C88" s="7" t="str">
        <f>INICIO!S88</f>
        <v/>
      </c>
      <c r="D88" t="s">
        <v>64</v>
      </c>
      <c r="F88">
        <f t="shared" si="1"/>
        <v>0</v>
      </c>
      <c r="G88" s="3" t="str">
        <f>IF(INICIO!J88,CONCATENATE("                ",B88,C88,D88),"")</f>
        <v/>
      </c>
    </row>
    <row r="89" spans="2:7" hidden="1" x14ac:dyDescent="0.25">
      <c r="B89" t="s">
        <v>65</v>
      </c>
      <c r="C89" s="7" t="str">
        <f>INICIO!S89</f>
        <v/>
      </c>
      <c r="D89" t="s">
        <v>64</v>
      </c>
      <c r="F89">
        <f t="shared" si="1"/>
        <v>0</v>
      </c>
      <c r="G89" s="3" t="str">
        <f>IF(INICIO!J89,CONCATENATE("                ",B89,C89,D89),"")</f>
        <v/>
      </c>
    </row>
    <row r="90" spans="2:7" hidden="1" x14ac:dyDescent="0.25">
      <c r="B90" t="s">
        <v>65</v>
      </c>
      <c r="C90" s="7" t="str">
        <f>INICIO!S90</f>
        <v/>
      </c>
      <c r="D90" t="s">
        <v>64</v>
      </c>
      <c r="F90">
        <f t="shared" si="1"/>
        <v>0</v>
      </c>
      <c r="G90" s="3" t="str">
        <f>IF(INICIO!J90,CONCATENATE("                ",B90,C90,D90),"")</f>
        <v/>
      </c>
    </row>
    <row r="91" spans="2:7" hidden="1" x14ac:dyDescent="0.25">
      <c r="B91" t="s">
        <v>65</v>
      </c>
      <c r="C91" s="7" t="str">
        <f>INICIO!S91</f>
        <v/>
      </c>
      <c r="D91" t="s">
        <v>64</v>
      </c>
      <c r="F91">
        <f t="shared" si="1"/>
        <v>0</v>
      </c>
      <c r="G91" s="3" t="str">
        <f>IF(INICIO!J91,CONCATENATE("                ",B91,C91,D91),"")</f>
        <v/>
      </c>
    </row>
    <row r="92" spans="2:7" hidden="1" x14ac:dyDescent="0.25">
      <c r="B92" t="s">
        <v>65</v>
      </c>
      <c r="C92" s="7" t="str">
        <f>INICIO!S92</f>
        <v/>
      </c>
      <c r="D92" t="s">
        <v>64</v>
      </c>
      <c r="F92">
        <f t="shared" si="1"/>
        <v>0</v>
      </c>
      <c r="G92" s="3" t="str">
        <f>IF(INICIO!J92,CONCATENATE("                ",B92,C92,D92),"")</f>
        <v/>
      </c>
    </row>
    <row r="93" spans="2:7" hidden="1" x14ac:dyDescent="0.25">
      <c r="B93" t="s">
        <v>65</v>
      </c>
      <c r="C93" s="7" t="str">
        <f>INICIO!S93</f>
        <v/>
      </c>
      <c r="D93" t="s">
        <v>64</v>
      </c>
      <c r="F93">
        <f t="shared" si="1"/>
        <v>0</v>
      </c>
      <c r="G93" s="3" t="str">
        <f>IF(INICIO!J93,CONCATENATE("                ",B93,C93,D93),"")</f>
        <v/>
      </c>
    </row>
    <row r="94" spans="2:7" hidden="1" x14ac:dyDescent="0.25">
      <c r="B94" t="s">
        <v>65</v>
      </c>
      <c r="C94" s="7" t="str">
        <f>INICIO!S94</f>
        <v/>
      </c>
      <c r="D94" t="s">
        <v>64</v>
      </c>
      <c r="F94">
        <f t="shared" si="1"/>
        <v>0</v>
      </c>
      <c r="G94" s="3" t="str">
        <f>IF(INICIO!J94,CONCATENATE("                ",B94,C94,D94),"")</f>
        <v/>
      </c>
    </row>
    <row r="95" spans="2:7" hidden="1" x14ac:dyDescent="0.25">
      <c r="B95" t="s">
        <v>65</v>
      </c>
      <c r="C95" s="7" t="str">
        <f>INICIO!S95</f>
        <v/>
      </c>
      <c r="D95" t="s">
        <v>64</v>
      </c>
      <c r="F95">
        <f t="shared" si="1"/>
        <v>0</v>
      </c>
      <c r="G95" s="3" t="str">
        <f>IF(INICIO!J95,CONCATENATE("                ",B95,C95,D95),"")</f>
        <v/>
      </c>
    </row>
    <row r="96" spans="2:7" hidden="1" x14ac:dyDescent="0.25">
      <c r="B96" t="s">
        <v>65</v>
      </c>
      <c r="C96" s="7" t="str">
        <f>INICIO!S96</f>
        <v/>
      </c>
      <c r="D96" t="s">
        <v>64</v>
      </c>
      <c r="F96">
        <f t="shared" si="1"/>
        <v>0</v>
      </c>
      <c r="G96" s="3" t="str">
        <f>IF(INICIO!J96,CONCATENATE("                ",B96,C96,D96),"")</f>
        <v/>
      </c>
    </row>
    <row r="97" spans="2:7" hidden="1" x14ac:dyDescent="0.25">
      <c r="B97" t="s">
        <v>65</v>
      </c>
      <c r="C97" s="7" t="str">
        <f>INICIO!S97</f>
        <v/>
      </c>
      <c r="D97" t="s">
        <v>64</v>
      </c>
      <c r="F97">
        <f t="shared" si="1"/>
        <v>0</v>
      </c>
      <c r="G97" s="3" t="str">
        <f>IF(INICIO!J97,CONCATENATE("                ",B97,C97,D97),"")</f>
        <v/>
      </c>
    </row>
    <row r="98" spans="2:7" hidden="1" x14ac:dyDescent="0.25">
      <c r="B98" t="s">
        <v>65</v>
      </c>
      <c r="C98" s="7" t="str">
        <f>INICIO!S98</f>
        <v/>
      </c>
      <c r="D98" t="s">
        <v>64</v>
      </c>
      <c r="F98">
        <f t="shared" si="1"/>
        <v>0</v>
      </c>
      <c r="G98" s="3" t="str">
        <f>IF(INICIO!J98,CONCATENATE("                ",B98,C98,D98),"")</f>
        <v/>
      </c>
    </row>
    <row r="99" spans="2:7" hidden="1" x14ac:dyDescent="0.25">
      <c r="B99" t="s">
        <v>65</v>
      </c>
      <c r="C99" s="7" t="str">
        <f>INICIO!S99</f>
        <v/>
      </c>
      <c r="D99" t="s">
        <v>64</v>
      </c>
      <c r="F99">
        <f t="shared" si="1"/>
        <v>0</v>
      </c>
      <c r="G99" s="3" t="str">
        <f>IF(INICIO!J99,CONCATENATE("                ",B99,C99,D99),"")</f>
        <v/>
      </c>
    </row>
    <row r="100" spans="2:7" hidden="1" x14ac:dyDescent="0.25">
      <c r="B100" t="s">
        <v>65</v>
      </c>
      <c r="C100" s="7" t="str">
        <f>INICIO!S100</f>
        <v/>
      </c>
      <c r="D100" t="s">
        <v>64</v>
      </c>
      <c r="F100">
        <f t="shared" si="1"/>
        <v>0</v>
      </c>
      <c r="G100" s="3" t="str">
        <f>IF(INICIO!J100,CONCATENATE("                ",B100,C100,D100),"")</f>
        <v/>
      </c>
    </row>
    <row r="101" spans="2:7" hidden="1" x14ac:dyDescent="0.25">
      <c r="B101" t="s">
        <v>65</v>
      </c>
      <c r="C101" s="7" t="str">
        <f>INICIO!S101</f>
        <v/>
      </c>
      <c r="D101" t="s">
        <v>64</v>
      </c>
      <c r="F101">
        <f t="shared" si="1"/>
        <v>0</v>
      </c>
      <c r="G101" s="3" t="str">
        <f>IF(INICIO!J101,CONCATENATE("                ",B101,C101,D101),"")</f>
        <v/>
      </c>
    </row>
    <row r="102" spans="2:7" hidden="1" x14ac:dyDescent="0.25">
      <c r="B102" t="s">
        <v>65</v>
      </c>
      <c r="C102" s="7" t="str">
        <f>INICIO!S102</f>
        <v/>
      </c>
      <c r="D102" t="s">
        <v>64</v>
      </c>
      <c r="F102">
        <f t="shared" si="1"/>
        <v>0</v>
      </c>
      <c r="G102" s="3" t="str">
        <f>IF(INICIO!J102,CONCATENATE("                ",B102,C102,D102),"")</f>
        <v/>
      </c>
    </row>
    <row r="103" spans="2:7" hidden="1" x14ac:dyDescent="0.25">
      <c r="B103" t="s">
        <v>65</v>
      </c>
      <c r="C103" s="7" t="str">
        <f>INICIO!S103</f>
        <v/>
      </c>
      <c r="D103" t="s">
        <v>64</v>
      </c>
      <c r="F103">
        <f t="shared" si="1"/>
        <v>0</v>
      </c>
      <c r="G103" s="3" t="str">
        <f>IF(INICIO!J103,CONCATENATE("                ",B103,C103,D103),"")</f>
        <v/>
      </c>
    </row>
    <row r="104" spans="2:7" hidden="1" x14ac:dyDescent="0.25">
      <c r="B104" t="s">
        <v>65</v>
      </c>
      <c r="C104" s="7" t="str">
        <f>INICIO!S104</f>
        <v/>
      </c>
      <c r="D104" t="s">
        <v>64</v>
      </c>
      <c r="F104">
        <f t="shared" si="1"/>
        <v>0</v>
      </c>
      <c r="G104" s="3" t="str">
        <f>IF(INICIO!J104,CONCATENATE("                ",B104,C104,D104),"")</f>
        <v/>
      </c>
    </row>
    <row r="105" spans="2:7" hidden="1" x14ac:dyDescent="0.25">
      <c r="B105" t="s">
        <v>65</v>
      </c>
      <c r="C105" s="7" t="str">
        <f>INICIO!S105</f>
        <v/>
      </c>
      <c r="D105" t="s">
        <v>64</v>
      </c>
      <c r="F105">
        <f t="shared" si="1"/>
        <v>0</v>
      </c>
      <c r="G105" s="3" t="str">
        <f>IF(INICIO!J105,CONCATENATE("                ",B105,C105,D105),"")</f>
        <v/>
      </c>
    </row>
    <row r="106" spans="2:7" hidden="1" x14ac:dyDescent="0.25">
      <c r="B106" t="s">
        <v>65</v>
      </c>
      <c r="C106" s="7" t="str">
        <f>INICIO!S106</f>
        <v/>
      </c>
      <c r="D106" t="s">
        <v>64</v>
      </c>
      <c r="F106">
        <f t="shared" si="1"/>
        <v>0</v>
      </c>
      <c r="G106" s="3" t="str">
        <f>IF(INICIO!J106,CONCATENATE("                ",B106,C106,D106),"")</f>
        <v/>
      </c>
    </row>
    <row r="107" spans="2:7" hidden="1" x14ac:dyDescent="0.25">
      <c r="B107" t="s">
        <v>65</v>
      </c>
      <c r="C107" s="7" t="str">
        <f>INICIO!S107</f>
        <v/>
      </c>
      <c r="D107" t="s">
        <v>64</v>
      </c>
      <c r="F107">
        <f t="shared" si="1"/>
        <v>0</v>
      </c>
      <c r="G107" s="3" t="str">
        <f>IF(INICIO!J107,CONCATENATE("                ",B107,C107,D107),"")</f>
        <v/>
      </c>
    </row>
    <row r="108" spans="2:7" hidden="1" x14ac:dyDescent="0.25">
      <c r="B108" t="s">
        <v>65</v>
      </c>
      <c r="C108" s="7" t="str">
        <f>INICIO!S108</f>
        <v/>
      </c>
      <c r="D108" t="s">
        <v>64</v>
      </c>
      <c r="F108">
        <f t="shared" si="1"/>
        <v>0</v>
      </c>
      <c r="G108" s="3" t="str">
        <f>IF(INICIO!J108,CONCATENATE("                ",B108,C108,D108),"")</f>
        <v/>
      </c>
    </row>
    <row r="109" spans="2:7" hidden="1" x14ac:dyDescent="0.25">
      <c r="B109" t="s">
        <v>65</v>
      </c>
      <c r="C109" s="7" t="str">
        <f>INICIO!S109</f>
        <v/>
      </c>
      <c r="D109" t="s">
        <v>64</v>
      </c>
      <c r="F109">
        <f t="shared" si="1"/>
        <v>0</v>
      </c>
      <c r="G109" s="3" t="str">
        <f>IF(INICIO!J109,CONCATENATE("                ",B109,C109,D109),"")</f>
        <v/>
      </c>
    </row>
    <row r="110" spans="2:7" x14ac:dyDescent="0.25">
      <c r="B110" t="s">
        <v>66</v>
      </c>
      <c r="C110" s="20" t="str">
        <f>INICIO!K10</f>
        <v>E_Id</v>
      </c>
      <c r="D110" t="s">
        <v>67</v>
      </c>
      <c r="F110">
        <f t="shared" si="1"/>
        <v>1</v>
      </c>
      <c r="G110" s="3" t="str">
        <f>CONCATENATE("                                ",B110,C110,D110)</f>
        <v xml:space="preserve">                                 + "PRIMARY KEY (`E_Id`));";</v>
      </c>
    </row>
    <row r="111" spans="2:7" x14ac:dyDescent="0.25">
      <c r="F111">
        <f t="shared" si="1"/>
        <v>1</v>
      </c>
      <c r="G111" s="3" t="s">
        <v>147</v>
      </c>
    </row>
    <row r="112" spans="2:7" x14ac:dyDescent="0.25">
      <c r="F112">
        <f t="shared" si="1"/>
        <v>1</v>
      </c>
      <c r="G112" s="3" t="s">
        <v>12</v>
      </c>
    </row>
    <row r="113" spans="6:7" x14ac:dyDescent="0.25">
      <c r="F113">
        <f t="shared" si="1"/>
        <v>1</v>
      </c>
      <c r="G113" s="3" t="s">
        <v>70</v>
      </c>
    </row>
  </sheetData>
  <sheetProtection sheet="1" objects="1" scenarios="1"/>
  <autoFilter ref="F1:G11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filterMode="1">
    <tabColor rgb="FFFFFF00"/>
  </sheetPr>
  <dimension ref="A1:L133"/>
  <sheetViews>
    <sheetView showGridLines="0" topLeftCell="J5" workbookViewId="0">
      <selection activeCell="K5" sqref="K5:L133"/>
    </sheetView>
  </sheetViews>
  <sheetFormatPr defaultRowHeight="15" x14ac:dyDescent="0.25"/>
  <cols>
    <col min="1" max="1" width="25.7109375" hidden="1" customWidth="1"/>
    <col min="2" max="2" width="21.7109375" hidden="1" customWidth="1"/>
    <col min="3" max="3" width="25.85546875" style="4" hidden="1" customWidth="1"/>
    <col min="4" max="4" width="41.42578125" hidden="1" customWidth="1"/>
    <col min="5" max="5" width="31.85546875" hidden="1" customWidth="1"/>
    <col min="6" max="6" width="12.28515625" hidden="1" customWidth="1"/>
    <col min="7" max="7" width="25" hidden="1" customWidth="1"/>
    <col min="8" max="8" width="9.140625" hidden="1" customWidth="1"/>
    <col min="9" max="9" width="9.42578125" style="4" hidden="1" customWidth="1"/>
    <col min="10" max="10" width="9.42578125" style="4" customWidth="1"/>
    <col min="11" max="11" width="9.42578125" style="4" hidden="1" customWidth="1"/>
    <col min="12" max="12" width="93.5703125" style="4" customWidth="1"/>
  </cols>
  <sheetData>
    <row r="1" spans="1:12" hidden="1" x14ac:dyDescent="0.25">
      <c r="A1" t="s">
        <v>16</v>
      </c>
      <c r="B1" s="6">
        <f>100-(COUNTBLANK(E14:E112))</f>
        <v>9</v>
      </c>
    </row>
    <row r="2" spans="1:12" hidden="1" x14ac:dyDescent="0.25">
      <c r="B2" t="s">
        <v>19</v>
      </c>
    </row>
    <row r="3" spans="1:12" hidden="1" x14ac:dyDescent="0.25">
      <c r="B3" s="1" t="str">
        <f>INICIO!D3</f>
        <v>EmpresaMatriz</v>
      </c>
    </row>
    <row r="4" spans="1:12" hidden="1" x14ac:dyDescent="0.25">
      <c r="B4" s="1" t="s">
        <v>20</v>
      </c>
      <c r="K4" s="2" t="s">
        <v>117</v>
      </c>
      <c r="L4" s="2" t="s">
        <v>116</v>
      </c>
    </row>
    <row r="5" spans="1:12" x14ac:dyDescent="0.25">
      <c r="A5" t="s">
        <v>17</v>
      </c>
      <c r="B5" t="str">
        <f>CONCATENATE(A14,A15,A16,A17,A18,A19,A20,A21,A22,A23,A24,A25,A26,A27,A28,A29,A30,A31,A32,A33,A34,A35,A36,A37,A38,A39,A40,A41,A42,A43,A44,A45,A46,A47,A48,A49,A50,A51,A52,A53,A54,A55,A56,A57,A58,A59,A60,A61,A62,A63,A64,A65,A66,A67,A68,A69,A70,A71,A72,A73,A74,A75,A76,A77,A78,A79,A80,A81,A82,A83,A84,A85,A86,A87,A88,A89,A90,A91,A92,A93,A94,A95,A96,A97,A98,A99,A100,A101,A102,A103,A104,A105,A106,A107,A108,A109,A110,A111,A112)</f>
        <v xml:space="preserve">`E_RazaoSocial` , `E_CNPJ` , `E_IE` , `E_Endereco` , `E_Complemento` , `E_Estado` , `E_Telefone` , `E_Email` </v>
      </c>
      <c r="K5" s="38">
        <f t="shared" ref="K5:K6" si="0">IF(L5&lt;&gt;"",1,0)</f>
        <v>1</v>
      </c>
      <c r="L5" s="3" t="s">
        <v>153</v>
      </c>
    </row>
    <row r="6" spans="1:12" x14ac:dyDescent="0.25">
      <c r="B6" t="s">
        <v>22</v>
      </c>
      <c r="D6" s="4"/>
      <c r="E6" s="4"/>
      <c r="F6" s="4"/>
      <c r="G6" s="4"/>
      <c r="K6" s="38">
        <f t="shared" si="0"/>
        <v>1</v>
      </c>
      <c r="L6" s="3" t="s">
        <v>154</v>
      </c>
    </row>
    <row r="7" spans="1:12" x14ac:dyDescent="0.25">
      <c r="D7" s="1" t="s">
        <v>137</v>
      </c>
      <c r="E7" t="str">
        <f>INICIO!D5</f>
        <v>Empresa</v>
      </c>
      <c r="F7" s="7" t="str">
        <f>CONCATENATE(" _",LOWER(INICIO!D3))</f>
        <v xml:space="preserve"> _empresamatriz</v>
      </c>
      <c r="G7" t="s">
        <v>131</v>
      </c>
      <c r="K7" s="38">
        <f>IF(L7&lt;&gt;"",1,0)</f>
        <v>1</v>
      </c>
      <c r="L7" s="3" t="str">
        <f>IF(ISBLANK(INICIO!B4),"",CONCATENATE(D7,E7,F7,G7,H7))</f>
        <v xml:space="preserve">        public bool _Adicionar(Empresa _empresamatriz, string stringConnect)</v>
      </c>
    </row>
    <row r="8" spans="1:12" x14ac:dyDescent="0.25">
      <c r="D8" s="1" t="s">
        <v>69</v>
      </c>
      <c r="K8" s="38">
        <f t="shared" ref="K8:K71" si="1">IF(L8&lt;&gt;"",1,0)</f>
        <v>1</v>
      </c>
      <c r="L8" s="3" t="str">
        <f>IF(ISBLANK(INICIO!B5),"",CONCATENATE(D8,E8,F8,G8,H8))</f>
        <v xml:space="preserve">        {</v>
      </c>
    </row>
    <row r="9" spans="1:12" x14ac:dyDescent="0.25">
      <c r="A9" t="s">
        <v>18</v>
      </c>
      <c r="B9" t="str">
        <f>CONCATENATE(B14,B15,B16,B17,B18,B19,B20,B21,B22,B23,B24,B25,B26,B27,B28,B29,B30,B31,B32,B33,B34,B35,B36,B37,B38,B39,B40,B41,B42,B43,B44,B45,B46,B47,B48,B49,B50,B51,B52,B53,B54,B55,B56,B57,B58,B59,B60,B61,B62,B63,B64,B65,B66,B67,B68,B69,B70,B71,B72,B73,B74,B75,B76,B77,B78,B79,B80,B81,B82,B83,B84,B85,B86,B87,B88,B89,B90,B91,B92,B93,B94,B95,B96,B97,B98,B99,B100,B101,B102,B103,B104,B105,B106,B107,B108,B109,B110,B111,B112)</f>
        <v>@E_RazaoSocial, @E_CNPJ, @E_IE, @E_Endereco, @E_Complemento, @E_Estado, @E_Telefone, @E_Email</v>
      </c>
      <c r="K9" s="38">
        <f>IF(L9&lt;&gt;"",1,0)</f>
        <v>1</v>
      </c>
      <c r="L9" s="3" t="s">
        <v>79</v>
      </c>
    </row>
    <row r="10" spans="1:12" x14ac:dyDescent="0.25">
      <c r="B10" t="s">
        <v>21</v>
      </c>
      <c r="K10" s="38">
        <f t="shared" si="1"/>
        <v>1</v>
      </c>
      <c r="L10" s="3" t="s">
        <v>11</v>
      </c>
    </row>
    <row r="11" spans="1:12" x14ac:dyDescent="0.25">
      <c r="D11" s="4"/>
      <c r="E11" s="4"/>
      <c r="F11" s="4"/>
      <c r="G11" s="4"/>
      <c r="K11" s="38">
        <f t="shared" si="1"/>
        <v>1</v>
      </c>
      <c r="L11" s="3" t="s">
        <v>84</v>
      </c>
    </row>
    <row r="12" spans="1:12" x14ac:dyDescent="0.25">
      <c r="K12" s="38">
        <f t="shared" si="1"/>
        <v>1</v>
      </c>
      <c r="L12" s="3" t="str">
        <f>CONCATENATE("                ",B2,B3,B4,B5,B6,B9,B10)</f>
        <v xml:space="preserve">                var sql = new MySqlCommand("INSERT INTO `EmpresaMatriz` (`E_RazaoSocial` , `E_CNPJ` , `E_IE` , `E_Endereco` , `E_Complemento` , `E_Estado` , `E_Telefone` , `E_Email` ) VALUES (@E_RazaoSocial, @E_CNPJ, @E_IE, @E_Endereco, @E_Complemento, @E_Estado, @E_Telefone, @E_Email);", conexao);</v>
      </c>
    </row>
    <row r="13" spans="1:12" x14ac:dyDescent="0.25">
      <c r="F13" s="5" t="s">
        <v>138</v>
      </c>
      <c r="K13" s="38">
        <f t="shared" si="1"/>
        <v>1</v>
      </c>
      <c r="L13" s="3" t="s">
        <v>139</v>
      </c>
    </row>
    <row r="14" spans="1:12" x14ac:dyDescent="0.25">
      <c r="A14" s="5" t="str">
        <f>IF(E14 &lt;&gt; "",CONCATENATE("`",E14,"` "),"")</f>
        <v xml:space="preserve">`E_RazaoSocial` </v>
      </c>
      <c r="B14" s="5" t="str">
        <f>IF(E14 &lt;&gt; "",CONCATENATE("@",E14),"")</f>
        <v>@E_RazaoSocial</v>
      </c>
      <c r="D14" s="3" t="s">
        <v>0</v>
      </c>
      <c r="E14" s="5" t="str">
        <f>INICIO!K11</f>
        <v>E_RazaoSocial</v>
      </c>
      <c r="F14" s="3" t="str">
        <f>CONCATENATE(F$13,F$7,".")</f>
        <v>" , _empresamatriz.</v>
      </c>
      <c r="G14" s="3" t="str">
        <f>LOWER(E14)</f>
        <v>e_razaosocial</v>
      </c>
      <c r="H14" s="3" t="s">
        <v>1</v>
      </c>
      <c r="K14" s="38">
        <f t="shared" si="1"/>
        <v>1</v>
      </c>
      <c r="L14" s="3" t="str">
        <f>IF(ISBLANK(INICIO!B11),"",CONCATENATE("                ",D14,E14,F14,G14,H14))</f>
        <v xml:space="preserve">                sql.Parameters.AddWithValue("@E_RazaoSocial" , _empresamatriz.e_razaosocial);</v>
      </c>
    </row>
    <row r="15" spans="1:12" x14ac:dyDescent="0.25">
      <c r="A15" t="str">
        <f t="shared" ref="A15:A32" si="2">IF(E15 &lt;&gt; "",CONCATENATE(", `",E15,"` "),"")</f>
        <v xml:space="preserve">, `E_CNPJ` </v>
      </c>
      <c r="B15" t="str">
        <f>IF(E15 &lt;&gt; "",CONCATENATE(", @",E15),"")</f>
        <v>, @E_CNPJ</v>
      </c>
      <c r="D15" s="3" t="s">
        <v>0</v>
      </c>
      <c r="E15" s="5" t="str">
        <f>INICIO!K12</f>
        <v>E_CNPJ</v>
      </c>
      <c r="F15" s="3" t="str">
        <f t="shared" ref="F15:F78" si="3">CONCATENATE(F$13,F$7,".")</f>
        <v>" , _empresamatriz.</v>
      </c>
      <c r="G15" s="3" t="str">
        <f t="shared" ref="G15:G78" si="4">LOWER(E15)</f>
        <v>e_cnpj</v>
      </c>
      <c r="H15" s="3" t="s">
        <v>1</v>
      </c>
      <c r="K15" s="38">
        <f t="shared" si="1"/>
        <v>1</v>
      </c>
      <c r="L15" s="3" t="str">
        <f>IF(ISBLANK(INICIO!B12),"",CONCATENATE("                ",D15,E15,F15,G15,H15))</f>
        <v xml:space="preserve">                sql.Parameters.AddWithValue("@E_CNPJ" , _empresamatriz.e_cnpj);</v>
      </c>
    </row>
    <row r="16" spans="1:12" x14ac:dyDescent="0.25">
      <c r="A16" t="str">
        <f t="shared" si="2"/>
        <v xml:space="preserve">, `E_IE` </v>
      </c>
      <c r="B16" t="str">
        <f t="shared" ref="B16:B79" si="5">IF(E16 &lt;&gt; "",CONCATENATE(", @",E16),"")</f>
        <v>, @E_IE</v>
      </c>
      <c r="D16" s="3" t="s">
        <v>0</v>
      </c>
      <c r="E16" s="5" t="str">
        <f>INICIO!K13</f>
        <v>E_IE</v>
      </c>
      <c r="F16" s="3" t="str">
        <f t="shared" si="3"/>
        <v>" , _empresamatriz.</v>
      </c>
      <c r="G16" s="3" t="str">
        <f t="shared" si="4"/>
        <v>e_ie</v>
      </c>
      <c r="H16" s="3" t="s">
        <v>1</v>
      </c>
      <c r="K16" s="38">
        <f t="shared" si="1"/>
        <v>1</v>
      </c>
      <c r="L16" s="3" t="str">
        <f>IF(ISBLANK(INICIO!B13),"",CONCATENATE("                ",D16,E16,F16,G16,H16))</f>
        <v xml:space="preserve">                sql.Parameters.AddWithValue("@E_IE" , _empresamatriz.e_ie);</v>
      </c>
    </row>
    <row r="17" spans="1:12" x14ac:dyDescent="0.25">
      <c r="A17" t="str">
        <f t="shared" si="2"/>
        <v xml:space="preserve">, `E_Endereco` </v>
      </c>
      <c r="B17" t="str">
        <f t="shared" si="5"/>
        <v>, @E_Endereco</v>
      </c>
      <c r="D17" s="3" t="s">
        <v>0</v>
      </c>
      <c r="E17" s="5" t="str">
        <f>INICIO!K14</f>
        <v>E_Endereco</v>
      </c>
      <c r="F17" s="3" t="str">
        <f t="shared" si="3"/>
        <v>" , _empresamatriz.</v>
      </c>
      <c r="G17" s="3" t="str">
        <f t="shared" si="4"/>
        <v>e_endereco</v>
      </c>
      <c r="H17" s="3" t="s">
        <v>1</v>
      </c>
      <c r="K17" s="38">
        <f t="shared" si="1"/>
        <v>1</v>
      </c>
      <c r="L17" s="3" t="str">
        <f>IF(ISBLANK(INICIO!B14),"",CONCATENATE("                ",D17,E17,F17,G17,H17))</f>
        <v xml:space="preserve">                sql.Parameters.AddWithValue("@E_Endereco" , _empresamatriz.e_endereco);</v>
      </c>
    </row>
    <row r="18" spans="1:12" x14ac:dyDescent="0.25">
      <c r="A18" t="str">
        <f t="shared" si="2"/>
        <v xml:space="preserve">, `E_Complemento` </v>
      </c>
      <c r="B18" t="str">
        <f t="shared" si="5"/>
        <v>, @E_Complemento</v>
      </c>
      <c r="D18" s="3" t="s">
        <v>0</v>
      </c>
      <c r="E18" s="5" t="str">
        <f>INICIO!K15</f>
        <v>E_Complemento</v>
      </c>
      <c r="F18" s="3" t="str">
        <f t="shared" si="3"/>
        <v>" , _empresamatriz.</v>
      </c>
      <c r="G18" s="3" t="str">
        <f t="shared" si="4"/>
        <v>e_complemento</v>
      </c>
      <c r="H18" s="3" t="s">
        <v>1</v>
      </c>
      <c r="K18" s="38">
        <f t="shared" si="1"/>
        <v>1</v>
      </c>
      <c r="L18" s="3" t="str">
        <f>IF(ISBLANK(INICIO!B15),"",CONCATENATE("                ",D18,E18,F18,G18,H18))</f>
        <v xml:space="preserve">                sql.Parameters.AddWithValue("@E_Complemento" , _empresamatriz.e_complemento);</v>
      </c>
    </row>
    <row r="19" spans="1:12" x14ac:dyDescent="0.25">
      <c r="A19" t="str">
        <f t="shared" si="2"/>
        <v xml:space="preserve">, `E_Estado` </v>
      </c>
      <c r="B19" t="str">
        <f t="shared" si="5"/>
        <v>, @E_Estado</v>
      </c>
      <c r="D19" s="3" t="s">
        <v>0</v>
      </c>
      <c r="E19" s="5" t="str">
        <f>INICIO!K16</f>
        <v>E_Estado</v>
      </c>
      <c r="F19" s="3" t="str">
        <f t="shared" si="3"/>
        <v>" , _empresamatriz.</v>
      </c>
      <c r="G19" s="3" t="str">
        <f t="shared" si="4"/>
        <v>e_estado</v>
      </c>
      <c r="H19" s="3" t="s">
        <v>1</v>
      </c>
      <c r="K19" s="38">
        <f t="shared" si="1"/>
        <v>1</v>
      </c>
      <c r="L19" s="3" t="str">
        <f>IF(ISBLANK(INICIO!B16),"",CONCATENATE("                ",D19,E19,F19,G19,H19))</f>
        <v xml:space="preserve">                sql.Parameters.AddWithValue("@E_Estado" , _empresamatriz.e_estado);</v>
      </c>
    </row>
    <row r="20" spans="1:12" x14ac:dyDescent="0.25">
      <c r="A20" t="str">
        <f t="shared" si="2"/>
        <v xml:space="preserve">, `E_Telefone` </v>
      </c>
      <c r="B20" t="str">
        <f t="shared" si="5"/>
        <v>, @E_Telefone</v>
      </c>
      <c r="D20" s="3" t="s">
        <v>0</v>
      </c>
      <c r="E20" s="5" t="str">
        <f>INICIO!K17</f>
        <v>E_Telefone</v>
      </c>
      <c r="F20" s="3" t="str">
        <f t="shared" si="3"/>
        <v>" , _empresamatriz.</v>
      </c>
      <c r="G20" s="3" t="str">
        <f t="shared" si="4"/>
        <v>e_telefone</v>
      </c>
      <c r="H20" s="3" t="s">
        <v>1</v>
      </c>
      <c r="K20" s="38">
        <f t="shared" si="1"/>
        <v>1</v>
      </c>
      <c r="L20" s="3" t="str">
        <f>IF(ISBLANK(INICIO!B17),"",CONCATENATE("                ",D20,E20,F20,G20,H20))</f>
        <v xml:space="preserve">                sql.Parameters.AddWithValue("@E_Telefone" , _empresamatriz.e_telefone);</v>
      </c>
    </row>
    <row r="21" spans="1:12" x14ac:dyDescent="0.25">
      <c r="A21" t="str">
        <f t="shared" si="2"/>
        <v xml:space="preserve">, `E_Email` </v>
      </c>
      <c r="B21" t="str">
        <f t="shared" si="5"/>
        <v>, @E_Email</v>
      </c>
      <c r="D21" s="3" t="s">
        <v>0</v>
      </c>
      <c r="E21" s="5" t="str">
        <f>INICIO!K18</f>
        <v>E_Email</v>
      </c>
      <c r="F21" s="3" t="str">
        <f t="shared" si="3"/>
        <v>" , _empresamatriz.</v>
      </c>
      <c r="G21" s="3" t="str">
        <f t="shared" si="4"/>
        <v>e_email</v>
      </c>
      <c r="H21" s="3" t="s">
        <v>1</v>
      </c>
      <c r="K21" s="38">
        <f t="shared" si="1"/>
        <v>1</v>
      </c>
      <c r="L21" s="3" t="str">
        <f>IF(ISBLANK(INICIO!B18),"",CONCATENATE("                ",D21,E21,F21,G21,H21))</f>
        <v xml:space="preserve">                sql.Parameters.AddWithValue("@E_Email" , _empresamatriz.e_email);</v>
      </c>
    </row>
    <row r="22" spans="1:12" hidden="1" x14ac:dyDescent="0.25">
      <c r="A22" t="str">
        <f t="shared" si="2"/>
        <v/>
      </c>
      <c r="B22" t="str">
        <f t="shared" si="5"/>
        <v/>
      </c>
      <c r="D22" s="3" t="s">
        <v>0</v>
      </c>
      <c r="E22" s="5" t="str">
        <f>INICIO!K19</f>
        <v/>
      </c>
      <c r="F22" s="3" t="str">
        <f t="shared" si="3"/>
        <v>" , _empresamatriz.</v>
      </c>
      <c r="G22" s="3" t="str">
        <f t="shared" si="4"/>
        <v/>
      </c>
      <c r="H22" s="3" t="s">
        <v>1</v>
      </c>
      <c r="K22" s="38">
        <f t="shared" si="1"/>
        <v>0</v>
      </c>
      <c r="L22" s="3" t="str">
        <f>IF(ISBLANK(INICIO!B19),"",CONCATENATE("                ",D22,E22,F22,G22,H22))</f>
        <v/>
      </c>
    </row>
    <row r="23" spans="1:12" hidden="1" x14ac:dyDescent="0.25">
      <c r="A23" t="str">
        <f t="shared" si="2"/>
        <v/>
      </c>
      <c r="B23" t="str">
        <f t="shared" si="5"/>
        <v/>
      </c>
      <c r="D23" s="3" t="s">
        <v>0</v>
      </c>
      <c r="E23" s="5" t="str">
        <f>INICIO!K20</f>
        <v/>
      </c>
      <c r="F23" s="3" t="str">
        <f t="shared" si="3"/>
        <v>" , _empresamatriz.</v>
      </c>
      <c r="G23" s="3" t="str">
        <f t="shared" si="4"/>
        <v/>
      </c>
      <c r="H23" s="3" t="s">
        <v>1</v>
      </c>
      <c r="K23" s="38">
        <f t="shared" si="1"/>
        <v>0</v>
      </c>
      <c r="L23" s="3" t="str">
        <f>IF(ISBLANK(INICIO!B20),"",CONCATENATE("                ",D23,E23,F23,G23,H23))</f>
        <v/>
      </c>
    </row>
    <row r="24" spans="1:12" hidden="1" x14ac:dyDescent="0.25">
      <c r="A24" t="str">
        <f t="shared" si="2"/>
        <v/>
      </c>
      <c r="B24" t="str">
        <f t="shared" si="5"/>
        <v/>
      </c>
      <c r="D24" s="3" t="s">
        <v>0</v>
      </c>
      <c r="E24" s="5" t="str">
        <f>INICIO!K21</f>
        <v/>
      </c>
      <c r="F24" s="3" t="str">
        <f t="shared" si="3"/>
        <v>" , _empresamatriz.</v>
      </c>
      <c r="G24" s="3" t="str">
        <f t="shared" si="4"/>
        <v/>
      </c>
      <c r="H24" s="3" t="s">
        <v>1</v>
      </c>
      <c r="K24" s="38">
        <f t="shared" si="1"/>
        <v>0</v>
      </c>
      <c r="L24" s="3" t="str">
        <f>IF(ISBLANK(INICIO!B21),"",CONCATENATE("                ",D24,E24,F24,G24,H24))</f>
        <v/>
      </c>
    </row>
    <row r="25" spans="1:12" hidden="1" x14ac:dyDescent="0.25">
      <c r="A25" t="str">
        <f t="shared" si="2"/>
        <v/>
      </c>
      <c r="B25" t="str">
        <f t="shared" si="5"/>
        <v/>
      </c>
      <c r="D25" s="3" t="s">
        <v>0</v>
      </c>
      <c r="E25" s="5" t="str">
        <f>INICIO!K22</f>
        <v/>
      </c>
      <c r="F25" s="3" t="str">
        <f t="shared" si="3"/>
        <v>" , _empresamatriz.</v>
      </c>
      <c r="G25" s="3" t="str">
        <f t="shared" si="4"/>
        <v/>
      </c>
      <c r="H25" s="3" t="s">
        <v>1</v>
      </c>
      <c r="K25" s="38">
        <f t="shared" si="1"/>
        <v>0</v>
      </c>
      <c r="L25" s="3" t="str">
        <f>IF(ISBLANK(INICIO!B22),"",CONCATENATE("                ",D25,E25,F25,G25,H25))</f>
        <v/>
      </c>
    </row>
    <row r="26" spans="1:12" hidden="1" x14ac:dyDescent="0.25">
      <c r="A26" t="str">
        <f t="shared" si="2"/>
        <v/>
      </c>
      <c r="B26" t="str">
        <f t="shared" si="5"/>
        <v/>
      </c>
      <c r="D26" s="3" t="s">
        <v>0</v>
      </c>
      <c r="E26" s="5" t="str">
        <f>INICIO!K23</f>
        <v/>
      </c>
      <c r="F26" s="3" t="str">
        <f t="shared" si="3"/>
        <v>" , _empresamatriz.</v>
      </c>
      <c r="G26" s="3" t="str">
        <f t="shared" si="4"/>
        <v/>
      </c>
      <c r="H26" s="3" t="s">
        <v>1</v>
      </c>
      <c r="K26" s="38">
        <f t="shared" si="1"/>
        <v>0</v>
      </c>
      <c r="L26" s="3" t="str">
        <f>IF(ISBLANK(INICIO!B23),"",CONCATENATE("                ",D26,E26,F26,G26,H26))</f>
        <v/>
      </c>
    </row>
    <row r="27" spans="1:12" hidden="1" x14ac:dyDescent="0.25">
      <c r="A27" t="str">
        <f t="shared" si="2"/>
        <v/>
      </c>
      <c r="B27" t="str">
        <f t="shared" si="5"/>
        <v/>
      </c>
      <c r="D27" s="3" t="s">
        <v>0</v>
      </c>
      <c r="E27" s="5" t="str">
        <f>INICIO!K24</f>
        <v/>
      </c>
      <c r="F27" s="3" t="str">
        <f t="shared" si="3"/>
        <v>" , _empresamatriz.</v>
      </c>
      <c r="G27" s="3" t="str">
        <f t="shared" si="4"/>
        <v/>
      </c>
      <c r="H27" s="3" t="s">
        <v>1</v>
      </c>
      <c r="K27" s="38">
        <f t="shared" si="1"/>
        <v>0</v>
      </c>
      <c r="L27" s="3" t="str">
        <f>IF(ISBLANK(INICIO!B24),"",CONCATENATE("                ",D27,E27,F27,G27,H27))</f>
        <v/>
      </c>
    </row>
    <row r="28" spans="1:12" hidden="1" x14ac:dyDescent="0.25">
      <c r="A28" t="str">
        <f t="shared" si="2"/>
        <v/>
      </c>
      <c r="B28" t="str">
        <f t="shared" si="5"/>
        <v/>
      </c>
      <c r="D28" s="3" t="s">
        <v>0</v>
      </c>
      <c r="E28" s="5" t="str">
        <f>INICIO!K25</f>
        <v/>
      </c>
      <c r="F28" s="3" t="str">
        <f t="shared" si="3"/>
        <v>" , _empresamatriz.</v>
      </c>
      <c r="G28" s="3" t="str">
        <f t="shared" si="4"/>
        <v/>
      </c>
      <c r="H28" s="3" t="s">
        <v>1</v>
      </c>
      <c r="K28" s="38">
        <f t="shared" si="1"/>
        <v>0</v>
      </c>
      <c r="L28" s="3" t="str">
        <f>IF(ISBLANK(INICIO!B25),"",CONCATENATE("                ",D28,E28,F28,G28,H28))</f>
        <v/>
      </c>
    </row>
    <row r="29" spans="1:12" hidden="1" x14ac:dyDescent="0.25">
      <c r="A29" t="str">
        <f t="shared" si="2"/>
        <v/>
      </c>
      <c r="B29" t="str">
        <f t="shared" si="5"/>
        <v/>
      </c>
      <c r="D29" s="3" t="s">
        <v>0</v>
      </c>
      <c r="E29" s="5" t="str">
        <f>INICIO!K26</f>
        <v/>
      </c>
      <c r="F29" s="3" t="str">
        <f t="shared" si="3"/>
        <v>" , _empresamatriz.</v>
      </c>
      <c r="G29" s="3" t="str">
        <f t="shared" si="4"/>
        <v/>
      </c>
      <c r="H29" s="3" t="s">
        <v>1</v>
      </c>
      <c r="K29" s="38">
        <f t="shared" si="1"/>
        <v>0</v>
      </c>
      <c r="L29" s="3" t="str">
        <f>IF(ISBLANK(INICIO!B26),"",CONCATENATE("                ",D29,E29,F29,G29,H29))</f>
        <v/>
      </c>
    </row>
    <row r="30" spans="1:12" hidden="1" x14ac:dyDescent="0.25">
      <c r="A30" t="str">
        <f t="shared" si="2"/>
        <v/>
      </c>
      <c r="B30" t="str">
        <f t="shared" si="5"/>
        <v/>
      </c>
      <c r="D30" s="3" t="s">
        <v>0</v>
      </c>
      <c r="E30" s="5" t="str">
        <f>INICIO!K27</f>
        <v/>
      </c>
      <c r="F30" s="3" t="str">
        <f t="shared" si="3"/>
        <v>" , _empresamatriz.</v>
      </c>
      <c r="G30" s="3" t="str">
        <f t="shared" si="4"/>
        <v/>
      </c>
      <c r="H30" s="3" t="s">
        <v>1</v>
      </c>
      <c r="K30" s="38">
        <f t="shared" si="1"/>
        <v>0</v>
      </c>
      <c r="L30" s="3" t="str">
        <f>IF(ISBLANK(INICIO!B27),"",CONCATENATE("                ",D30,E30,F30,G30,H30))</f>
        <v/>
      </c>
    </row>
    <row r="31" spans="1:12" hidden="1" x14ac:dyDescent="0.25">
      <c r="A31" t="str">
        <f t="shared" si="2"/>
        <v/>
      </c>
      <c r="B31" t="str">
        <f t="shared" si="5"/>
        <v/>
      </c>
      <c r="D31" s="3" t="s">
        <v>0</v>
      </c>
      <c r="E31" s="5" t="str">
        <f>INICIO!K28</f>
        <v/>
      </c>
      <c r="F31" s="3" t="str">
        <f t="shared" si="3"/>
        <v>" , _empresamatriz.</v>
      </c>
      <c r="G31" s="3" t="str">
        <f t="shared" si="4"/>
        <v/>
      </c>
      <c r="H31" s="3" t="s">
        <v>1</v>
      </c>
      <c r="K31" s="38">
        <f t="shared" si="1"/>
        <v>0</v>
      </c>
      <c r="L31" s="3" t="str">
        <f>IF(ISBLANK(INICIO!B28),"",CONCATENATE("                ",D31,E31,F31,G31,H31))</f>
        <v/>
      </c>
    </row>
    <row r="32" spans="1:12" hidden="1" x14ac:dyDescent="0.25">
      <c r="A32" t="str">
        <f t="shared" si="2"/>
        <v/>
      </c>
      <c r="B32" t="str">
        <f t="shared" si="5"/>
        <v/>
      </c>
      <c r="D32" s="3" t="s">
        <v>0</v>
      </c>
      <c r="E32" s="5" t="str">
        <f>INICIO!K29</f>
        <v/>
      </c>
      <c r="F32" s="3" t="str">
        <f t="shared" si="3"/>
        <v>" , _empresamatriz.</v>
      </c>
      <c r="G32" s="3" t="str">
        <f t="shared" si="4"/>
        <v/>
      </c>
      <c r="H32" s="3" t="s">
        <v>1</v>
      </c>
      <c r="K32" s="38">
        <f t="shared" si="1"/>
        <v>0</v>
      </c>
      <c r="L32" s="3" t="str">
        <f>IF(ISBLANK(INICIO!B29),"",CONCATENATE("                ",D32,E32,F32,G32,H32))</f>
        <v/>
      </c>
    </row>
    <row r="33" spans="1:12" hidden="1" x14ac:dyDescent="0.25">
      <c r="A33" t="str">
        <f>IF(E33 &lt;&gt; "",CONCATENATE(", `",E33,"` "),"")</f>
        <v/>
      </c>
      <c r="B33" t="str">
        <f t="shared" si="5"/>
        <v/>
      </c>
      <c r="D33" s="3" t="s">
        <v>0</v>
      </c>
      <c r="E33" s="5" t="str">
        <f>INICIO!K30</f>
        <v/>
      </c>
      <c r="F33" s="3" t="str">
        <f t="shared" si="3"/>
        <v>" , _empresamatriz.</v>
      </c>
      <c r="G33" s="3" t="str">
        <f t="shared" si="4"/>
        <v/>
      </c>
      <c r="H33" s="3" t="s">
        <v>1</v>
      </c>
      <c r="K33" s="38">
        <f t="shared" si="1"/>
        <v>0</v>
      </c>
      <c r="L33" s="3" t="str">
        <f>IF(ISBLANK(INICIO!B30),"",CONCATENATE("                ",D33,E33,F33,G33,H33))</f>
        <v/>
      </c>
    </row>
    <row r="34" spans="1:12" hidden="1" x14ac:dyDescent="0.25">
      <c r="A34" t="str">
        <f t="shared" ref="A34:A97" si="6">IF(E34 &lt;&gt; "",CONCATENATE(", `",E34,"` "),"")</f>
        <v/>
      </c>
      <c r="B34" t="str">
        <f t="shared" si="5"/>
        <v/>
      </c>
      <c r="D34" s="3" t="s">
        <v>0</v>
      </c>
      <c r="E34" s="5" t="str">
        <f>INICIO!K31</f>
        <v/>
      </c>
      <c r="F34" s="3" t="str">
        <f t="shared" si="3"/>
        <v>" , _empresamatriz.</v>
      </c>
      <c r="G34" s="3" t="str">
        <f t="shared" si="4"/>
        <v/>
      </c>
      <c r="H34" s="3" t="s">
        <v>1</v>
      </c>
      <c r="K34" s="38">
        <f t="shared" si="1"/>
        <v>0</v>
      </c>
      <c r="L34" s="3" t="str">
        <f>IF(ISBLANK(INICIO!B31),"",CONCATENATE("                ",D34,E34,F34,G34,H34))</f>
        <v/>
      </c>
    </row>
    <row r="35" spans="1:12" hidden="1" x14ac:dyDescent="0.25">
      <c r="A35" t="str">
        <f t="shared" si="6"/>
        <v/>
      </c>
      <c r="B35" t="str">
        <f t="shared" si="5"/>
        <v/>
      </c>
      <c r="D35" s="3" t="s">
        <v>0</v>
      </c>
      <c r="E35" s="5" t="str">
        <f>INICIO!K32</f>
        <v/>
      </c>
      <c r="F35" s="3" t="str">
        <f t="shared" si="3"/>
        <v>" , _empresamatriz.</v>
      </c>
      <c r="G35" s="3" t="str">
        <f t="shared" si="4"/>
        <v/>
      </c>
      <c r="H35" s="3" t="s">
        <v>1</v>
      </c>
      <c r="K35" s="38">
        <f t="shared" si="1"/>
        <v>0</v>
      </c>
      <c r="L35" s="3" t="str">
        <f>IF(ISBLANK(INICIO!B32),"",CONCATENATE("                ",D35,E35,F35,G35,H35))</f>
        <v/>
      </c>
    </row>
    <row r="36" spans="1:12" hidden="1" x14ac:dyDescent="0.25">
      <c r="A36" t="str">
        <f t="shared" si="6"/>
        <v/>
      </c>
      <c r="B36" t="str">
        <f t="shared" si="5"/>
        <v/>
      </c>
      <c r="D36" s="3" t="s">
        <v>0</v>
      </c>
      <c r="E36" s="5" t="str">
        <f>INICIO!K33</f>
        <v/>
      </c>
      <c r="F36" s="3" t="str">
        <f t="shared" si="3"/>
        <v>" , _empresamatriz.</v>
      </c>
      <c r="G36" s="3" t="str">
        <f t="shared" si="4"/>
        <v/>
      </c>
      <c r="H36" s="3" t="s">
        <v>1</v>
      </c>
      <c r="K36" s="38">
        <f t="shared" si="1"/>
        <v>0</v>
      </c>
      <c r="L36" s="3" t="str">
        <f>IF(ISBLANK(INICIO!B33),"",CONCATENATE("                ",D36,E36,F36,G36,H36))</f>
        <v/>
      </c>
    </row>
    <row r="37" spans="1:12" hidden="1" x14ac:dyDescent="0.25">
      <c r="A37" t="str">
        <f t="shared" si="6"/>
        <v/>
      </c>
      <c r="B37" t="str">
        <f t="shared" si="5"/>
        <v/>
      </c>
      <c r="D37" s="3" t="s">
        <v>0</v>
      </c>
      <c r="E37" s="5" t="str">
        <f>INICIO!K34</f>
        <v/>
      </c>
      <c r="F37" s="3" t="str">
        <f t="shared" si="3"/>
        <v>" , _empresamatriz.</v>
      </c>
      <c r="G37" s="3" t="str">
        <f t="shared" si="4"/>
        <v/>
      </c>
      <c r="H37" s="3" t="s">
        <v>1</v>
      </c>
      <c r="K37" s="38">
        <f t="shared" si="1"/>
        <v>0</v>
      </c>
      <c r="L37" s="3" t="str">
        <f>IF(ISBLANK(INICIO!B34),"",CONCATENATE("                ",D37,E37,F37,G37,H37))</f>
        <v/>
      </c>
    </row>
    <row r="38" spans="1:12" hidden="1" x14ac:dyDescent="0.25">
      <c r="A38" t="str">
        <f t="shared" si="6"/>
        <v/>
      </c>
      <c r="B38" t="str">
        <f t="shared" si="5"/>
        <v/>
      </c>
      <c r="D38" s="3" t="s">
        <v>0</v>
      </c>
      <c r="E38" s="5" t="str">
        <f>INICIO!K35</f>
        <v/>
      </c>
      <c r="F38" s="3" t="str">
        <f t="shared" si="3"/>
        <v>" , _empresamatriz.</v>
      </c>
      <c r="G38" s="3" t="str">
        <f t="shared" si="4"/>
        <v/>
      </c>
      <c r="H38" s="3" t="s">
        <v>1</v>
      </c>
      <c r="K38" s="38">
        <f t="shared" si="1"/>
        <v>0</v>
      </c>
      <c r="L38" s="3" t="str">
        <f>IF(ISBLANK(INICIO!B35),"",CONCATENATE("                ",D38,E38,F38,G38,H38))</f>
        <v/>
      </c>
    </row>
    <row r="39" spans="1:12" hidden="1" x14ac:dyDescent="0.25">
      <c r="A39" t="str">
        <f t="shared" si="6"/>
        <v/>
      </c>
      <c r="B39" t="str">
        <f t="shared" si="5"/>
        <v/>
      </c>
      <c r="D39" s="3" t="s">
        <v>0</v>
      </c>
      <c r="E39" s="5" t="str">
        <f>INICIO!K36</f>
        <v/>
      </c>
      <c r="F39" s="3" t="str">
        <f t="shared" si="3"/>
        <v>" , _empresamatriz.</v>
      </c>
      <c r="G39" s="3" t="str">
        <f t="shared" si="4"/>
        <v/>
      </c>
      <c r="H39" s="3" t="s">
        <v>1</v>
      </c>
      <c r="K39" s="38">
        <f t="shared" si="1"/>
        <v>0</v>
      </c>
      <c r="L39" s="3" t="str">
        <f>IF(ISBLANK(INICIO!B36),"",CONCATENATE("                ",D39,E39,F39,G39,H39))</f>
        <v/>
      </c>
    </row>
    <row r="40" spans="1:12" hidden="1" x14ac:dyDescent="0.25">
      <c r="A40" t="str">
        <f t="shared" si="6"/>
        <v/>
      </c>
      <c r="B40" t="str">
        <f t="shared" si="5"/>
        <v/>
      </c>
      <c r="D40" s="3" t="s">
        <v>0</v>
      </c>
      <c r="E40" s="5" t="str">
        <f>INICIO!K37</f>
        <v/>
      </c>
      <c r="F40" s="3" t="str">
        <f t="shared" si="3"/>
        <v>" , _empresamatriz.</v>
      </c>
      <c r="G40" s="3" t="str">
        <f t="shared" si="4"/>
        <v/>
      </c>
      <c r="H40" s="3" t="s">
        <v>1</v>
      </c>
      <c r="K40" s="38">
        <f t="shared" si="1"/>
        <v>0</v>
      </c>
      <c r="L40" s="3" t="str">
        <f>IF(ISBLANK(INICIO!B37),"",CONCATENATE("                ",D40,E40,F40,G40,H40))</f>
        <v/>
      </c>
    </row>
    <row r="41" spans="1:12" hidden="1" x14ac:dyDescent="0.25">
      <c r="A41" t="str">
        <f t="shared" si="6"/>
        <v/>
      </c>
      <c r="B41" t="str">
        <f t="shared" si="5"/>
        <v/>
      </c>
      <c r="D41" s="3" t="s">
        <v>0</v>
      </c>
      <c r="E41" s="5" t="str">
        <f>INICIO!K38</f>
        <v/>
      </c>
      <c r="F41" s="3" t="str">
        <f t="shared" si="3"/>
        <v>" , _empresamatriz.</v>
      </c>
      <c r="G41" s="3" t="str">
        <f t="shared" si="4"/>
        <v/>
      </c>
      <c r="H41" s="3" t="s">
        <v>1</v>
      </c>
      <c r="K41" s="38">
        <f t="shared" si="1"/>
        <v>0</v>
      </c>
      <c r="L41" s="3" t="str">
        <f>IF(ISBLANK(INICIO!B38),"",CONCATENATE("                ",D41,E41,F41,G41,H41))</f>
        <v/>
      </c>
    </row>
    <row r="42" spans="1:12" hidden="1" x14ac:dyDescent="0.25">
      <c r="A42" t="str">
        <f t="shared" si="6"/>
        <v/>
      </c>
      <c r="B42" t="str">
        <f t="shared" si="5"/>
        <v/>
      </c>
      <c r="D42" s="3" t="s">
        <v>0</v>
      </c>
      <c r="E42" s="5" t="str">
        <f>INICIO!K39</f>
        <v/>
      </c>
      <c r="F42" s="3" t="str">
        <f t="shared" si="3"/>
        <v>" , _empresamatriz.</v>
      </c>
      <c r="G42" s="3" t="str">
        <f t="shared" si="4"/>
        <v/>
      </c>
      <c r="H42" s="3" t="s">
        <v>1</v>
      </c>
      <c r="K42" s="38">
        <f t="shared" si="1"/>
        <v>0</v>
      </c>
      <c r="L42" s="3" t="str">
        <f>IF(ISBLANK(INICIO!B39),"",CONCATENATE("                ",D42,E42,F42,G42,H42))</f>
        <v/>
      </c>
    </row>
    <row r="43" spans="1:12" hidden="1" x14ac:dyDescent="0.25">
      <c r="A43" t="str">
        <f t="shared" si="6"/>
        <v/>
      </c>
      <c r="B43" t="str">
        <f t="shared" si="5"/>
        <v/>
      </c>
      <c r="D43" s="3" t="s">
        <v>0</v>
      </c>
      <c r="E43" s="5" t="str">
        <f>INICIO!K40</f>
        <v/>
      </c>
      <c r="F43" s="3" t="str">
        <f t="shared" si="3"/>
        <v>" , _empresamatriz.</v>
      </c>
      <c r="G43" s="3" t="str">
        <f t="shared" si="4"/>
        <v/>
      </c>
      <c r="H43" s="3" t="s">
        <v>1</v>
      </c>
      <c r="K43" s="38">
        <f t="shared" si="1"/>
        <v>0</v>
      </c>
      <c r="L43" s="3" t="str">
        <f>IF(ISBLANK(INICIO!B40),"",CONCATENATE("                ",D43,E43,F43,G43,H43))</f>
        <v/>
      </c>
    </row>
    <row r="44" spans="1:12" hidden="1" x14ac:dyDescent="0.25">
      <c r="A44" t="str">
        <f t="shared" si="6"/>
        <v/>
      </c>
      <c r="B44" t="str">
        <f t="shared" si="5"/>
        <v/>
      </c>
      <c r="D44" s="3" t="s">
        <v>0</v>
      </c>
      <c r="E44" s="5" t="str">
        <f>INICIO!K41</f>
        <v/>
      </c>
      <c r="F44" s="3" t="str">
        <f t="shared" si="3"/>
        <v>" , _empresamatriz.</v>
      </c>
      <c r="G44" s="3" t="str">
        <f t="shared" si="4"/>
        <v/>
      </c>
      <c r="H44" s="3" t="s">
        <v>1</v>
      </c>
      <c r="K44" s="38">
        <f t="shared" si="1"/>
        <v>0</v>
      </c>
      <c r="L44" s="3" t="str">
        <f>IF(ISBLANK(INICIO!B41),"",CONCATENATE("                ",D44,E44,F44,G44,H44))</f>
        <v/>
      </c>
    </row>
    <row r="45" spans="1:12" hidden="1" x14ac:dyDescent="0.25">
      <c r="A45" t="str">
        <f t="shared" si="6"/>
        <v/>
      </c>
      <c r="B45" t="str">
        <f t="shared" si="5"/>
        <v/>
      </c>
      <c r="D45" s="3" t="s">
        <v>0</v>
      </c>
      <c r="E45" s="5" t="str">
        <f>INICIO!K42</f>
        <v/>
      </c>
      <c r="F45" s="3" t="str">
        <f t="shared" si="3"/>
        <v>" , _empresamatriz.</v>
      </c>
      <c r="G45" s="3" t="str">
        <f t="shared" si="4"/>
        <v/>
      </c>
      <c r="H45" s="3" t="s">
        <v>1</v>
      </c>
      <c r="K45" s="38">
        <f t="shared" si="1"/>
        <v>0</v>
      </c>
      <c r="L45" s="3" t="str">
        <f>IF(ISBLANK(INICIO!B42),"",CONCATENATE("                ",D45,E45,F45,G45,H45))</f>
        <v/>
      </c>
    </row>
    <row r="46" spans="1:12" hidden="1" x14ac:dyDescent="0.25">
      <c r="A46" t="str">
        <f t="shared" si="6"/>
        <v/>
      </c>
      <c r="B46" t="str">
        <f t="shared" si="5"/>
        <v/>
      </c>
      <c r="D46" s="3" t="s">
        <v>0</v>
      </c>
      <c r="E46" s="5" t="str">
        <f>INICIO!K43</f>
        <v/>
      </c>
      <c r="F46" s="3" t="str">
        <f t="shared" si="3"/>
        <v>" , _empresamatriz.</v>
      </c>
      <c r="G46" s="3" t="str">
        <f t="shared" si="4"/>
        <v/>
      </c>
      <c r="H46" s="3" t="s">
        <v>1</v>
      </c>
      <c r="K46" s="38">
        <f t="shared" si="1"/>
        <v>0</v>
      </c>
      <c r="L46" s="3" t="str">
        <f>IF(ISBLANK(INICIO!B43),"",CONCATENATE("                ",D46,E46,F46,G46,H46))</f>
        <v/>
      </c>
    </row>
    <row r="47" spans="1:12" hidden="1" x14ac:dyDescent="0.25">
      <c r="A47" t="str">
        <f t="shared" si="6"/>
        <v/>
      </c>
      <c r="B47" t="str">
        <f t="shared" si="5"/>
        <v/>
      </c>
      <c r="D47" s="3" t="s">
        <v>0</v>
      </c>
      <c r="E47" s="5" t="str">
        <f>INICIO!K44</f>
        <v/>
      </c>
      <c r="F47" s="3" t="str">
        <f t="shared" si="3"/>
        <v>" , _empresamatriz.</v>
      </c>
      <c r="G47" s="3" t="str">
        <f t="shared" si="4"/>
        <v/>
      </c>
      <c r="H47" s="3" t="s">
        <v>1</v>
      </c>
      <c r="K47" s="38">
        <f t="shared" si="1"/>
        <v>0</v>
      </c>
      <c r="L47" s="3" t="str">
        <f>IF(ISBLANK(INICIO!B44),"",CONCATENATE("                ",D47,E47,F47,G47,H47))</f>
        <v/>
      </c>
    </row>
    <row r="48" spans="1:12" hidden="1" x14ac:dyDescent="0.25">
      <c r="A48" t="str">
        <f t="shared" si="6"/>
        <v/>
      </c>
      <c r="B48" t="str">
        <f t="shared" si="5"/>
        <v/>
      </c>
      <c r="D48" s="3" t="s">
        <v>0</v>
      </c>
      <c r="E48" s="5" t="str">
        <f>INICIO!K45</f>
        <v/>
      </c>
      <c r="F48" s="3" t="str">
        <f t="shared" si="3"/>
        <v>" , _empresamatriz.</v>
      </c>
      <c r="G48" s="3" t="str">
        <f t="shared" si="4"/>
        <v/>
      </c>
      <c r="H48" s="3" t="s">
        <v>1</v>
      </c>
      <c r="K48" s="38">
        <f t="shared" si="1"/>
        <v>0</v>
      </c>
      <c r="L48" s="3" t="str">
        <f>IF(ISBLANK(INICIO!B45),"",CONCATENATE("                ",D48,E48,F48,G48,H48))</f>
        <v/>
      </c>
    </row>
    <row r="49" spans="1:12" hidden="1" x14ac:dyDescent="0.25">
      <c r="A49" t="str">
        <f t="shared" si="6"/>
        <v/>
      </c>
      <c r="B49" t="str">
        <f t="shared" si="5"/>
        <v/>
      </c>
      <c r="D49" s="3" t="s">
        <v>0</v>
      </c>
      <c r="E49" s="5" t="str">
        <f>INICIO!K46</f>
        <v/>
      </c>
      <c r="F49" s="3" t="str">
        <f t="shared" si="3"/>
        <v>" , _empresamatriz.</v>
      </c>
      <c r="G49" s="3" t="str">
        <f t="shared" si="4"/>
        <v/>
      </c>
      <c r="H49" s="3" t="s">
        <v>1</v>
      </c>
      <c r="K49" s="38">
        <f t="shared" si="1"/>
        <v>0</v>
      </c>
      <c r="L49" s="3" t="str">
        <f>IF(ISBLANK(INICIO!B46),"",CONCATENATE("                ",D49,E49,F49,G49,H49))</f>
        <v/>
      </c>
    </row>
    <row r="50" spans="1:12" hidden="1" x14ac:dyDescent="0.25">
      <c r="A50" t="str">
        <f t="shared" si="6"/>
        <v/>
      </c>
      <c r="B50" t="str">
        <f t="shared" si="5"/>
        <v/>
      </c>
      <c r="D50" s="3" t="s">
        <v>0</v>
      </c>
      <c r="E50" s="5" t="str">
        <f>INICIO!K47</f>
        <v/>
      </c>
      <c r="F50" s="3" t="str">
        <f t="shared" si="3"/>
        <v>" , _empresamatriz.</v>
      </c>
      <c r="G50" s="3" t="str">
        <f t="shared" si="4"/>
        <v/>
      </c>
      <c r="H50" s="3" t="s">
        <v>1</v>
      </c>
      <c r="K50" s="38">
        <f t="shared" si="1"/>
        <v>0</v>
      </c>
      <c r="L50" s="3" t="str">
        <f>IF(ISBLANK(INICIO!B47),"",CONCATENATE("                ",D50,E50,F50,G50,H50))</f>
        <v/>
      </c>
    </row>
    <row r="51" spans="1:12" hidden="1" x14ac:dyDescent="0.25">
      <c r="A51" t="str">
        <f t="shared" si="6"/>
        <v/>
      </c>
      <c r="B51" t="str">
        <f t="shared" si="5"/>
        <v/>
      </c>
      <c r="D51" s="3" t="s">
        <v>0</v>
      </c>
      <c r="E51" s="5" t="str">
        <f>INICIO!K48</f>
        <v/>
      </c>
      <c r="F51" s="3" t="str">
        <f t="shared" si="3"/>
        <v>" , _empresamatriz.</v>
      </c>
      <c r="G51" s="3" t="str">
        <f t="shared" si="4"/>
        <v/>
      </c>
      <c r="H51" s="3" t="s">
        <v>1</v>
      </c>
      <c r="K51" s="38">
        <f t="shared" si="1"/>
        <v>0</v>
      </c>
      <c r="L51" s="3" t="str">
        <f>IF(ISBLANK(INICIO!B48),"",CONCATENATE("                ",D51,E51,F51,G51,H51))</f>
        <v/>
      </c>
    </row>
    <row r="52" spans="1:12" hidden="1" x14ac:dyDescent="0.25">
      <c r="A52" t="str">
        <f t="shared" si="6"/>
        <v/>
      </c>
      <c r="B52" t="str">
        <f t="shared" si="5"/>
        <v/>
      </c>
      <c r="D52" s="3" t="s">
        <v>0</v>
      </c>
      <c r="E52" s="5" t="str">
        <f>INICIO!K49</f>
        <v/>
      </c>
      <c r="F52" s="3" t="str">
        <f t="shared" si="3"/>
        <v>" , _empresamatriz.</v>
      </c>
      <c r="G52" s="3" t="str">
        <f t="shared" si="4"/>
        <v/>
      </c>
      <c r="H52" s="3" t="s">
        <v>1</v>
      </c>
      <c r="K52" s="38">
        <f t="shared" si="1"/>
        <v>0</v>
      </c>
      <c r="L52" s="3" t="str">
        <f>IF(ISBLANK(INICIO!B49),"",CONCATENATE("                ",D52,E52,F52,G52,H52))</f>
        <v/>
      </c>
    </row>
    <row r="53" spans="1:12" hidden="1" x14ac:dyDescent="0.25">
      <c r="A53" t="str">
        <f t="shared" si="6"/>
        <v/>
      </c>
      <c r="B53" t="str">
        <f t="shared" si="5"/>
        <v/>
      </c>
      <c r="D53" s="3" t="s">
        <v>0</v>
      </c>
      <c r="E53" s="5" t="str">
        <f>INICIO!K50</f>
        <v/>
      </c>
      <c r="F53" s="3" t="str">
        <f t="shared" si="3"/>
        <v>" , _empresamatriz.</v>
      </c>
      <c r="G53" s="3" t="str">
        <f t="shared" si="4"/>
        <v/>
      </c>
      <c r="H53" s="3" t="s">
        <v>1</v>
      </c>
      <c r="K53" s="38">
        <f t="shared" si="1"/>
        <v>0</v>
      </c>
      <c r="L53" s="3" t="str">
        <f>IF(ISBLANK(INICIO!B50),"",CONCATENATE("                ",D53,E53,F53,G53,H53))</f>
        <v/>
      </c>
    </row>
    <row r="54" spans="1:12" hidden="1" x14ac:dyDescent="0.25">
      <c r="A54" t="str">
        <f t="shared" si="6"/>
        <v/>
      </c>
      <c r="B54" t="str">
        <f t="shared" si="5"/>
        <v/>
      </c>
      <c r="D54" s="3" t="s">
        <v>0</v>
      </c>
      <c r="E54" s="5" t="str">
        <f>INICIO!K51</f>
        <v/>
      </c>
      <c r="F54" s="3" t="str">
        <f t="shared" si="3"/>
        <v>" , _empresamatriz.</v>
      </c>
      <c r="G54" s="3" t="str">
        <f t="shared" si="4"/>
        <v/>
      </c>
      <c r="H54" s="3" t="s">
        <v>1</v>
      </c>
      <c r="K54" s="38">
        <f t="shared" si="1"/>
        <v>0</v>
      </c>
      <c r="L54" s="3" t="str">
        <f>IF(ISBLANK(INICIO!B51),"",CONCATENATE("                ",D54,E54,F54,G54,H54))</f>
        <v/>
      </c>
    </row>
    <row r="55" spans="1:12" hidden="1" x14ac:dyDescent="0.25">
      <c r="A55" t="str">
        <f t="shared" si="6"/>
        <v/>
      </c>
      <c r="B55" t="str">
        <f t="shared" si="5"/>
        <v/>
      </c>
      <c r="D55" s="3" t="s">
        <v>0</v>
      </c>
      <c r="E55" s="5" t="str">
        <f>INICIO!K52</f>
        <v/>
      </c>
      <c r="F55" s="3" t="str">
        <f t="shared" si="3"/>
        <v>" , _empresamatriz.</v>
      </c>
      <c r="G55" s="3" t="str">
        <f t="shared" si="4"/>
        <v/>
      </c>
      <c r="H55" s="3" t="s">
        <v>1</v>
      </c>
      <c r="K55" s="38">
        <f t="shared" si="1"/>
        <v>0</v>
      </c>
      <c r="L55" s="3" t="str">
        <f>IF(ISBLANK(INICIO!B52),"",CONCATENATE("                ",D55,E55,F55,G55,H55))</f>
        <v/>
      </c>
    </row>
    <row r="56" spans="1:12" hidden="1" x14ac:dyDescent="0.25">
      <c r="A56" t="str">
        <f t="shared" si="6"/>
        <v/>
      </c>
      <c r="B56" t="str">
        <f t="shared" si="5"/>
        <v/>
      </c>
      <c r="D56" s="3" t="s">
        <v>0</v>
      </c>
      <c r="E56" s="5" t="str">
        <f>INICIO!K53</f>
        <v/>
      </c>
      <c r="F56" s="3" t="str">
        <f t="shared" si="3"/>
        <v>" , _empresamatriz.</v>
      </c>
      <c r="G56" s="3" t="str">
        <f t="shared" si="4"/>
        <v/>
      </c>
      <c r="H56" s="3" t="s">
        <v>1</v>
      </c>
      <c r="K56" s="38">
        <f t="shared" si="1"/>
        <v>0</v>
      </c>
      <c r="L56" s="3" t="str">
        <f>IF(ISBLANK(INICIO!B53),"",CONCATENATE("                ",D56,E56,F56,G56,H56))</f>
        <v/>
      </c>
    </row>
    <row r="57" spans="1:12" hidden="1" x14ac:dyDescent="0.25">
      <c r="A57" t="str">
        <f t="shared" si="6"/>
        <v/>
      </c>
      <c r="B57" t="str">
        <f t="shared" si="5"/>
        <v/>
      </c>
      <c r="D57" s="3" t="s">
        <v>0</v>
      </c>
      <c r="E57" s="5" t="str">
        <f>INICIO!K54</f>
        <v/>
      </c>
      <c r="F57" s="3" t="str">
        <f t="shared" si="3"/>
        <v>" , _empresamatriz.</v>
      </c>
      <c r="G57" s="3" t="str">
        <f t="shared" si="4"/>
        <v/>
      </c>
      <c r="H57" s="3" t="s">
        <v>1</v>
      </c>
      <c r="K57" s="38">
        <f t="shared" si="1"/>
        <v>0</v>
      </c>
      <c r="L57" s="3" t="str">
        <f>IF(ISBLANK(INICIO!B54),"",CONCATENATE("                ",D57,E57,F57,G57,H57))</f>
        <v/>
      </c>
    </row>
    <row r="58" spans="1:12" hidden="1" x14ac:dyDescent="0.25">
      <c r="A58" t="str">
        <f t="shared" si="6"/>
        <v/>
      </c>
      <c r="B58" t="str">
        <f t="shared" si="5"/>
        <v/>
      </c>
      <c r="D58" s="3" t="s">
        <v>0</v>
      </c>
      <c r="E58" s="5" t="str">
        <f>INICIO!K55</f>
        <v/>
      </c>
      <c r="F58" s="3" t="str">
        <f t="shared" si="3"/>
        <v>" , _empresamatriz.</v>
      </c>
      <c r="G58" s="3" t="str">
        <f t="shared" si="4"/>
        <v/>
      </c>
      <c r="H58" s="3" t="s">
        <v>1</v>
      </c>
      <c r="K58" s="38">
        <f t="shared" si="1"/>
        <v>0</v>
      </c>
      <c r="L58" s="3" t="str">
        <f>IF(ISBLANK(INICIO!B55),"",CONCATENATE("                ",D58,E58,F58,G58,H58))</f>
        <v/>
      </c>
    </row>
    <row r="59" spans="1:12" hidden="1" x14ac:dyDescent="0.25">
      <c r="A59" t="str">
        <f t="shared" si="6"/>
        <v/>
      </c>
      <c r="B59" t="str">
        <f t="shared" si="5"/>
        <v/>
      </c>
      <c r="D59" s="3" t="s">
        <v>0</v>
      </c>
      <c r="E59" s="5" t="str">
        <f>INICIO!K56</f>
        <v/>
      </c>
      <c r="F59" s="3" t="str">
        <f t="shared" si="3"/>
        <v>" , _empresamatriz.</v>
      </c>
      <c r="G59" s="3" t="str">
        <f t="shared" si="4"/>
        <v/>
      </c>
      <c r="H59" s="3" t="s">
        <v>1</v>
      </c>
      <c r="K59" s="38">
        <f t="shared" si="1"/>
        <v>0</v>
      </c>
      <c r="L59" s="3" t="str">
        <f>IF(ISBLANK(INICIO!B56),"",CONCATENATE("                ",D59,E59,F59,G59,H59))</f>
        <v/>
      </c>
    </row>
    <row r="60" spans="1:12" hidden="1" x14ac:dyDescent="0.25">
      <c r="A60" t="str">
        <f t="shared" si="6"/>
        <v/>
      </c>
      <c r="B60" t="str">
        <f t="shared" si="5"/>
        <v/>
      </c>
      <c r="D60" s="3" t="s">
        <v>0</v>
      </c>
      <c r="E60" s="5" t="str">
        <f>INICIO!K57</f>
        <v/>
      </c>
      <c r="F60" s="3" t="str">
        <f t="shared" si="3"/>
        <v>" , _empresamatriz.</v>
      </c>
      <c r="G60" s="3" t="str">
        <f t="shared" si="4"/>
        <v/>
      </c>
      <c r="H60" s="3" t="s">
        <v>1</v>
      </c>
      <c r="K60" s="38">
        <f t="shared" si="1"/>
        <v>0</v>
      </c>
      <c r="L60" s="3" t="str">
        <f>IF(ISBLANK(INICIO!B57),"",CONCATENATE("                ",D60,E60,F60,G60,H60))</f>
        <v/>
      </c>
    </row>
    <row r="61" spans="1:12" hidden="1" x14ac:dyDescent="0.25">
      <c r="A61" t="str">
        <f t="shared" si="6"/>
        <v/>
      </c>
      <c r="B61" t="str">
        <f t="shared" si="5"/>
        <v/>
      </c>
      <c r="D61" s="3" t="s">
        <v>0</v>
      </c>
      <c r="E61" s="5" t="str">
        <f>INICIO!K58</f>
        <v/>
      </c>
      <c r="F61" s="3" t="str">
        <f t="shared" si="3"/>
        <v>" , _empresamatriz.</v>
      </c>
      <c r="G61" s="3" t="str">
        <f t="shared" si="4"/>
        <v/>
      </c>
      <c r="H61" s="3" t="s">
        <v>1</v>
      </c>
      <c r="K61" s="38">
        <f t="shared" si="1"/>
        <v>0</v>
      </c>
      <c r="L61" s="3" t="str">
        <f>IF(ISBLANK(INICIO!B58),"",CONCATENATE("                ",D61,E61,F61,G61,H61))</f>
        <v/>
      </c>
    </row>
    <row r="62" spans="1:12" hidden="1" x14ac:dyDescent="0.25">
      <c r="A62" t="str">
        <f t="shared" si="6"/>
        <v/>
      </c>
      <c r="B62" t="str">
        <f t="shared" si="5"/>
        <v/>
      </c>
      <c r="D62" s="3" t="s">
        <v>0</v>
      </c>
      <c r="E62" s="5" t="str">
        <f>INICIO!K59</f>
        <v/>
      </c>
      <c r="F62" s="3" t="str">
        <f t="shared" si="3"/>
        <v>" , _empresamatriz.</v>
      </c>
      <c r="G62" s="3" t="str">
        <f t="shared" si="4"/>
        <v/>
      </c>
      <c r="H62" s="3" t="s">
        <v>1</v>
      </c>
      <c r="K62" s="38">
        <f t="shared" si="1"/>
        <v>0</v>
      </c>
      <c r="L62" s="3" t="str">
        <f>IF(ISBLANK(INICIO!B59),"",CONCATENATE("                ",D62,E62,F62,G62,H62))</f>
        <v/>
      </c>
    </row>
    <row r="63" spans="1:12" hidden="1" x14ac:dyDescent="0.25">
      <c r="A63" t="str">
        <f t="shared" si="6"/>
        <v/>
      </c>
      <c r="B63" t="str">
        <f t="shared" si="5"/>
        <v/>
      </c>
      <c r="D63" s="3" t="s">
        <v>0</v>
      </c>
      <c r="E63" s="5" t="str">
        <f>INICIO!K60</f>
        <v/>
      </c>
      <c r="F63" s="3" t="str">
        <f t="shared" si="3"/>
        <v>" , _empresamatriz.</v>
      </c>
      <c r="G63" s="3" t="str">
        <f t="shared" si="4"/>
        <v/>
      </c>
      <c r="H63" s="3" t="s">
        <v>1</v>
      </c>
      <c r="K63" s="38">
        <f t="shared" si="1"/>
        <v>0</v>
      </c>
      <c r="L63" s="3" t="str">
        <f>IF(ISBLANK(INICIO!B60),"",CONCATENATE("                ",D63,E63,F63,G63,H63))</f>
        <v/>
      </c>
    </row>
    <row r="64" spans="1:12" hidden="1" x14ac:dyDescent="0.25">
      <c r="A64" t="str">
        <f t="shared" si="6"/>
        <v/>
      </c>
      <c r="B64" t="str">
        <f t="shared" si="5"/>
        <v/>
      </c>
      <c r="D64" s="3" t="s">
        <v>0</v>
      </c>
      <c r="E64" s="5" t="str">
        <f>INICIO!K61</f>
        <v/>
      </c>
      <c r="F64" s="3" t="str">
        <f t="shared" si="3"/>
        <v>" , _empresamatriz.</v>
      </c>
      <c r="G64" s="3" t="str">
        <f t="shared" si="4"/>
        <v/>
      </c>
      <c r="H64" s="3" t="s">
        <v>1</v>
      </c>
      <c r="K64" s="38">
        <f t="shared" si="1"/>
        <v>0</v>
      </c>
      <c r="L64" s="3" t="str">
        <f>IF(ISBLANK(INICIO!B61),"",CONCATENATE("                ",D64,E64,F64,G64,H64))</f>
        <v/>
      </c>
    </row>
    <row r="65" spans="1:12" hidden="1" x14ac:dyDescent="0.25">
      <c r="A65" t="str">
        <f t="shared" si="6"/>
        <v/>
      </c>
      <c r="B65" t="str">
        <f t="shared" si="5"/>
        <v/>
      </c>
      <c r="D65" s="3" t="s">
        <v>0</v>
      </c>
      <c r="E65" s="5" t="str">
        <f>INICIO!K62</f>
        <v/>
      </c>
      <c r="F65" s="3" t="str">
        <f t="shared" si="3"/>
        <v>" , _empresamatriz.</v>
      </c>
      <c r="G65" s="3" t="str">
        <f t="shared" si="4"/>
        <v/>
      </c>
      <c r="H65" s="3" t="s">
        <v>1</v>
      </c>
      <c r="K65" s="38">
        <f t="shared" si="1"/>
        <v>0</v>
      </c>
      <c r="L65" s="3" t="str">
        <f>IF(ISBLANK(INICIO!B62),"",CONCATENATE("                ",D65,E65,F65,G65,H65))</f>
        <v/>
      </c>
    </row>
    <row r="66" spans="1:12" hidden="1" x14ac:dyDescent="0.25">
      <c r="A66" t="str">
        <f t="shared" si="6"/>
        <v/>
      </c>
      <c r="B66" t="str">
        <f t="shared" si="5"/>
        <v/>
      </c>
      <c r="D66" s="3" t="s">
        <v>0</v>
      </c>
      <c r="E66" s="5" t="str">
        <f>INICIO!K63</f>
        <v/>
      </c>
      <c r="F66" s="3" t="str">
        <f t="shared" si="3"/>
        <v>" , _empresamatriz.</v>
      </c>
      <c r="G66" s="3" t="str">
        <f t="shared" si="4"/>
        <v/>
      </c>
      <c r="H66" s="3" t="s">
        <v>1</v>
      </c>
      <c r="K66" s="38">
        <f t="shared" si="1"/>
        <v>0</v>
      </c>
      <c r="L66" s="3" t="str">
        <f>IF(ISBLANK(INICIO!B63),"",CONCATENATE("                ",D66,E66,F66,G66,H66))</f>
        <v/>
      </c>
    </row>
    <row r="67" spans="1:12" hidden="1" x14ac:dyDescent="0.25">
      <c r="A67" t="str">
        <f t="shared" si="6"/>
        <v/>
      </c>
      <c r="B67" t="str">
        <f t="shared" si="5"/>
        <v/>
      </c>
      <c r="D67" s="3" t="s">
        <v>0</v>
      </c>
      <c r="E67" s="5" t="str">
        <f>INICIO!K64</f>
        <v/>
      </c>
      <c r="F67" s="3" t="str">
        <f t="shared" si="3"/>
        <v>" , _empresamatriz.</v>
      </c>
      <c r="G67" s="3" t="str">
        <f t="shared" si="4"/>
        <v/>
      </c>
      <c r="H67" s="3" t="s">
        <v>1</v>
      </c>
      <c r="K67" s="38">
        <f t="shared" si="1"/>
        <v>0</v>
      </c>
      <c r="L67" s="3" t="str">
        <f>IF(ISBLANK(INICIO!B64),"",CONCATENATE("                ",D67,E67,F67,G67,H67))</f>
        <v/>
      </c>
    </row>
    <row r="68" spans="1:12" hidden="1" x14ac:dyDescent="0.25">
      <c r="A68" t="str">
        <f t="shared" si="6"/>
        <v/>
      </c>
      <c r="B68" t="str">
        <f t="shared" si="5"/>
        <v/>
      </c>
      <c r="D68" s="3" t="s">
        <v>0</v>
      </c>
      <c r="E68" s="5" t="str">
        <f>INICIO!K65</f>
        <v/>
      </c>
      <c r="F68" s="3" t="str">
        <f t="shared" si="3"/>
        <v>" , _empresamatriz.</v>
      </c>
      <c r="G68" s="3" t="str">
        <f t="shared" si="4"/>
        <v/>
      </c>
      <c r="H68" s="3" t="s">
        <v>1</v>
      </c>
      <c r="K68" s="38">
        <f t="shared" si="1"/>
        <v>0</v>
      </c>
      <c r="L68" s="3" t="str">
        <f>IF(ISBLANK(INICIO!B65),"",CONCATENATE("                ",D68,E68,F68,G68,H68))</f>
        <v/>
      </c>
    </row>
    <row r="69" spans="1:12" hidden="1" x14ac:dyDescent="0.25">
      <c r="A69" t="str">
        <f t="shared" si="6"/>
        <v/>
      </c>
      <c r="B69" t="str">
        <f t="shared" si="5"/>
        <v/>
      </c>
      <c r="D69" s="3" t="s">
        <v>0</v>
      </c>
      <c r="E69" s="5" t="str">
        <f>INICIO!K66</f>
        <v/>
      </c>
      <c r="F69" s="3" t="str">
        <f t="shared" si="3"/>
        <v>" , _empresamatriz.</v>
      </c>
      <c r="G69" s="3" t="str">
        <f t="shared" si="4"/>
        <v/>
      </c>
      <c r="H69" s="3" t="s">
        <v>1</v>
      </c>
      <c r="K69" s="38">
        <f t="shared" si="1"/>
        <v>0</v>
      </c>
      <c r="L69" s="3" t="str">
        <f>IF(ISBLANK(INICIO!B66),"",CONCATENATE("                ",D69,E69,F69,G69,H69))</f>
        <v/>
      </c>
    </row>
    <row r="70" spans="1:12" hidden="1" x14ac:dyDescent="0.25">
      <c r="A70" t="str">
        <f t="shared" si="6"/>
        <v/>
      </c>
      <c r="B70" t="str">
        <f t="shared" si="5"/>
        <v/>
      </c>
      <c r="D70" s="3" t="s">
        <v>0</v>
      </c>
      <c r="E70" s="5" t="str">
        <f>INICIO!K67</f>
        <v/>
      </c>
      <c r="F70" s="3" t="str">
        <f t="shared" si="3"/>
        <v>" , _empresamatriz.</v>
      </c>
      <c r="G70" s="3" t="str">
        <f t="shared" si="4"/>
        <v/>
      </c>
      <c r="H70" s="3" t="s">
        <v>1</v>
      </c>
      <c r="K70" s="38">
        <f t="shared" si="1"/>
        <v>0</v>
      </c>
      <c r="L70" s="3" t="str">
        <f>IF(ISBLANK(INICIO!B67),"",CONCATENATE("                ",D70,E70,F70,G70,H70))</f>
        <v/>
      </c>
    </row>
    <row r="71" spans="1:12" hidden="1" x14ac:dyDescent="0.25">
      <c r="A71" t="str">
        <f t="shared" si="6"/>
        <v/>
      </c>
      <c r="B71" t="str">
        <f t="shared" si="5"/>
        <v/>
      </c>
      <c r="D71" s="3" t="s">
        <v>0</v>
      </c>
      <c r="E71" s="5" t="str">
        <f>INICIO!K68</f>
        <v/>
      </c>
      <c r="F71" s="3" t="str">
        <f t="shared" si="3"/>
        <v>" , _empresamatriz.</v>
      </c>
      <c r="G71" s="3" t="str">
        <f t="shared" si="4"/>
        <v/>
      </c>
      <c r="H71" s="3" t="s">
        <v>1</v>
      </c>
      <c r="K71" s="38">
        <f t="shared" si="1"/>
        <v>0</v>
      </c>
      <c r="L71" s="3" t="str">
        <f>IF(ISBLANK(INICIO!B68),"",CONCATENATE("                ",D71,E71,F71,G71,H71))</f>
        <v/>
      </c>
    </row>
    <row r="72" spans="1:12" hidden="1" x14ac:dyDescent="0.25">
      <c r="A72" t="str">
        <f t="shared" si="6"/>
        <v/>
      </c>
      <c r="B72" t="str">
        <f t="shared" si="5"/>
        <v/>
      </c>
      <c r="D72" s="3" t="s">
        <v>0</v>
      </c>
      <c r="E72" s="5" t="str">
        <f>INICIO!K69</f>
        <v/>
      </c>
      <c r="F72" s="3" t="str">
        <f t="shared" si="3"/>
        <v>" , _empresamatriz.</v>
      </c>
      <c r="G72" s="3" t="str">
        <f t="shared" si="4"/>
        <v/>
      </c>
      <c r="H72" s="3" t="s">
        <v>1</v>
      </c>
      <c r="K72" s="38">
        <f t="shared" ref="K72:K133" si="7">IF(L72&lt;&gt;"",1,0)</f>
        <v>0</v>
      </c>
      <c r="L72" s="3" t="str">
        <f>IF(ISBLANK(INICIO!B69),"",CONCATENATE("                ",D72,E72,F72,G72,H72))</f>
        <v/>
      </c>
    </row>
    <row r="73" spans="1:12" hidden="1" x14ac:dyDescent="0.25">
      <c r="A73" t="str">
        <f t="shared" si="6"/>
        <v/>
      </c>
      <c r="B73" t="str">
        <f t="shared" si="5"/>
        <v/>
      </c>
      <c r="D73" s="3" t="s">
        <v>0</v>
      </c>
      <c r="E73" s="5" t="str">
        <f>INICIO!K70</f>
        <v/>
      </c>
      <c r="F73" s="3" t="str">
        <f t="shared" si="3"/>
        <v>" , _empresamatriz.</v>
      </c>
      <c r="G73" s="3" t="str">
        <f t="shared" si="4"/>
        <v/>
      </c>
      <c r="H73" s="3" t="s">
        <v>1</v>
      </c>
      <c r="K73" s="38">
        <f t="shared" si="7"/>
        <v>0</v>
      </c>
      <c r="L73" s="3" t="str">
        <f>IF(ISBLANK(INICIO!B70),"",CONCATENATE("                ",D73,E73,F73,G73,H73))</f>
        <v/>
      </c>
    </row>
    <row r="74" spans="1:12" hidden="1" x14ac:dyDescent="0.25">
      <c r="A74" t="str">
        <f t="shared" si="6"/>
        <v/>
      </c>
      <c r="B74" t="str">
        <f t="shared" si="5"/>
        <v/>
      </c>
      <c r="D74" s="3" t="s">
        <v>0</v>
      </c>
      <c r="E74" s="5" t="str">
        <f>INICIO!K71</f>
        <v/>
      </c>
      <c r="F74" s="3" t="str">
        <f t="shared" si="3"/>
        <v>" , _empresamatriz.</v>
      </c>
      <c r="G74" s="3" t="str">
        <f t="shared" si="4"/>
        <v/>
      </c>
      <c r="H74" s="3" t="s">
        <v>1</v>
      </c>
      <c r="K74" s="38">
        <f t="shared" si="7"/>
        <v>0</v>
      </c>
      <c r="L74" s="3" t="str">
        <f>IF(ISBLANK(INICIO!B71),"",CONCATENATE("                ",D74,E74,F74,G74,H74))</f>
        <v/>
      </c>
    </row>
    <row r="75" spans="1:12" hidden="1" x14ac:dyDescent="0.25">
      <c r="A75" t="str">
        <f t="shared" si="6"/>
        <v/>
      </c>
      <c r="B75" t="str">
        <f t="shared" si="5"/>
        <v/>
      </c>
      <c r="D75" s="3" t="s">
        <v>0</v>
      </c>
      <c r="E75" s="5" t="str">
        <f>INICIO!K72</f>
        <v/>
      </c>
      <c r="F75" s="3" t="str">
        <f t="shared" si="3"/>
        <v>" , _empresamatriz.</v>
      </c>
      <c r="G75" s="3" t="str">
        <f t="shared" si="4"/>
        <v/>
      </c>
      <c r="H75" s="3" t="s">
        <v>1</v>
      </c>
      <c r="K75" s="38">
        <f t="shared" si="7"/>
        <v>0</v>
      </c>
      <c r="L75" s="3" t="str">
        <f>IF(ISBLANK(INICIO!B72),"",CONCATENATE("                ",D75,E75,F75,G75,H75))</f>
        <v/>
      </c>
    </row>
    <row r="76" spans="1:12" hidden="1" x14ac:dyDescent="0.25">
      <c r="A76" t="str">
        <f t="shared" si="6"/>
        <v/>
      </c>
      <c r="B76" t="str">
        <f t="shared" si="5"/>
        <v/>
      </c>
      <c r="D76" s="3" t="s">
        <v>0</v>
      </c>
      <c r="E76" s="5" t="str">
        <f>INICIO!K73</f>
        <v/>
      </c>
      <c r="F76" s="3" t="str">
        <f t="shared" si="3"/>
        <v>" , _empresamatriz.</v>
      </c>
      <c r="G76" s="3" t="str">
        <f t="shared" si="4"/>
        <v/>
      </c>
      <c r="H76" s="3" t="s">
        <v>1</v>
      </c>
      <c r="K76" s="38">
        <f t="shared" si="7"/>
        <v>0</v>
      </c>
      <c r="L76" s="3" t="str">
        <f>IF(ISBLANK(INICIO!B73),"",CONCATENATE("                ",D76,E76,F76,G76,H76))</f>
        <v/>
      </c>
    </row>
    <row r="77" spans="1:12" hidden="1" x14ac:dyDescent="0.25">
      <c r="A77" t="str">
        <f t="shared" si="6"/>
        <v/>
      </c>
      <c r="B77" t="str">
        <f t="shared" si="5"/>
        <v/>
      </c>
      <c r="D77" s="3" t="s">
        <v>0</v>
      </c>
      <c r="E77" s="5" t="str">
        <f>INICIO!K74</f>
        <v/>
      </c>
      <c r="F77" s="3" t="str">
        <f t="shared" si="3"/>
        <v>" , _empresamatriz.</v>
      </c>
      <c r="G77" s="3" t="str">
        <f t="shared" si="4"/>
        <v/>
      </c>
      <c r="H77" s="3" t="s">
        <v>1</v>
      </c>
      <c r="K77" s="38">
        <f t="shared" si="7"/>
        <v>0</v>
      </c>
      <c r="L77" s="3" t="str">
        <f>IF(ISBLANK(INICIO!B74),"",CONCATENATE("                ",D77,E77,F77,G77,H77))</f>
        <v/>
      </c>
    </row>
    <row r="78" spans="1:12" hidden="1" x14ac:dyDescent="0.25">
      <c r="A78" t="str">
        <f t="shared" si="6"/>
        <v/>
      </c>
      <c r="B78" t="str">
        <f t="shared" si="5"/>
        <v/>
      </c>
      <c r="D78" s="3" t="s">
        <v>0</v>
      </c>
      <c r="E78" s="5" t="str">
        <f>INICIO!K75</f>
        <v/>
      </c>
      <c r="F78" s="3" t="str">
        <f t="shared" si="3"/>
        <v>" , _empresamatriz.</v>
      </c>
      <c r="G78" s="3" t="str">
        <f t="shared" si="4"/>
        <v/>
      </c>
      <c r="H78" s="3" t="s">
        <v>1</v>
      </c>
      <c r="K78" s="38">
        <f t="shared" si="7"/>
        <v>0</v>
      </c>
      <c r="L78" s="3" t="str">
        <f>IF(ISBLANK(INICIO!B75),"",CONCATENATE("                ",D78,E78,F78,G78,H78))</f>
        <v/>
      </c>
    </row>
    <row r="79" spans="1:12" hidden="1" x14ac:dyDescent="0.25">
      <c r="A79" t="str">
        <f t="shared" si="6"/>
        <v/>
      </c>
      <c r="B79" t="str">
        <f t="shared" si="5"/>
        <v/>
      </c>
      <c r="D79" s="3" t="s">
        <v>0</v>
      </c>
      <c r="E79" s="5" t="str">
        <f>INICIO!K76</f>
        <v/>
      </c>
      <c r="F79" s="3" t="str">
        <f t="shared" ref="F79:F112" si="8">CONCATENATE(F$13,F$7,".")</f>
        <v>" , _empresamatriz.</v>
      </c>
      <c r="G79" s="3" t="str">
        <f t="shared" ref="G79:G112" si="9">LOWER(E79)</f>
        <v/>
      </c>
      <c r="H79" s="3" t="s">
        <v>1</v>
      </c>
      <c r="K79" s="38">
        <f t="shared" si="7"/>
        <v>0</v>
      </c>
      <c r="L79" s="3" t="str">
        <f>IF(ISBLANK(INICIO!B76),"",CONCATENATE("                ",D79,E79,F79,G79,H79))</f>
        <v/>
      </c>
    </row>
    <row r="80" spans="1:12" hidden="1" x14ac:dyDescent="0.25">
      <c r="A80" t="str">
        <f t="shared" si="6"/>
        <v/>
      </c>
      <c r="B80" t="str">
        <f t="shared" ref="B80:B112" si="10">IF(E80 &lt;&gt; "",CONCATENATE(", @",E80),"")</f>
        <v/>
      </c>
      <c r="D80" s="3" t="s">
        <v>0</v>
      </c>
      <c r="E80" s="5" t="str">
        <f>INICIO!K77</f>
        <v/>
      </c>
      <c r="F80" s="3" t="str">
        <f t="shared" si="8"/>
        <v>" , _empresamatriz.</v>
      </c>
      <c r="G80" s="3" t="str">
        <f t="shared" si="9"/>
        <v/>
      </c>
      <c r="H80" s="3" t="s">
        <v>1</v>
      </c>
      <c r="K80" s="38">
        <f t="shared" si="7"/>
        <v>0</v>
      </c>
      <c r="L80" s="3" t="str">
        <f>IF(ISBLANK(INICIO!B77),"",CONCATENATE("                ",D80,E80,F80,G80,H80))</f>
        <v/>
      </c>
    </row>
    <row r="81" spans="1:12" hidden="1" x14ac:dyDescent="0.25">
      <c r="A81" t="str">
        <f t="shared" si="6"/>
        <v/>
      </c>
      <c r="B81" t="str">
        <f t="shared" si="10"/>
        <v/>
      </c>
      <c r="D81" s="3" t="s">
        <v>0</v>
      </c>
      <c r="E81" s="5" t="str">
        <f>INICIO!K78</f>
        <v/>
      </c>
      <c r="F81" s="3" t="str">
        <f t="shared" si="8"/>
        <v>" , _empresamatriz.</v>
      </c>
      <c r="G81" s="3" t="str">
        <f t="shared" si="9"/>
        <v/>
      </c>
      <c r="H81" s="3" t="s">
        <v>1</v>
      </c>
      <c r="K81" s="38">
        <f t="shared" si="7"/>
        <v>0</v>
      </c>
      <c r="L81" s="3" t="str">
        <f>IF(ISBLANK(INICIO!B78),"",CONCATENATE("                ",D81,E81,F81,G81,H81))</f>
        <v/>
      </c>
    </row>
    <row r="82" spans="1:12" hidden="1" x14ac:dyDescent="0.25">
      <c r="A82" t="str">
        <f t="shared" si="6"/>
        <v/>
      </c>
      <c r="B82" t="str">
        <f t="shared" si="10"/>
        <v/>
      </c>
      <c r="D82" s="3" t="s">
        <v>0</v>
      </c>
      <c r="E82" s="5" t="str">
        <f>INICIO!K79</f>
        <v/>
      </c>
      <c r="F82" s="3" t="str">
        <f t="shared" si="8"/>
        <v>" , _empresamatriz.</v>
      </c>
      <c r="G82" s="3" t="str">
        <f t="shared" si="9"/>
        <v/>
      </c>
      <c r="H82" s="3" t="s">
        <v>1</v>
      </c>
      <c r="K82" s="38">
        <f t="shared" si="7"/>
        <v>0</v>
      </c>
      <c r="L82" s="3" t="str">
        <f>IF(ISBLANK(INICIO!B79),"",CONCATENATE("                ",D82,E82,F82,G82,H82))</f>
        <v/>
      </c>
    </row>
    <row r="83" spans="1:12" hidden="1" x14ac:dyDescent="0.25">
      <c r="A83" t="str">
        <f t="shared" si="6"/>
        <v/>
      </c>
      <c r="B83" t="str">
        <f t="shared" si="10"/>
        <v/>
      </c>
      <c r="D83" s="3" t="s">
        <v>0</v>
      </c>
      <c r="E83" s="5" t="str">
        <f>INICIO!K80</f>
        <v/>
      </c>
      <c r="F83" s="3" t="str">
        <f t="shared" si="8"/>
        <v>" , _empresamatriz.</v>
      </c>
      <c r="G83" s="3" t="str">
        <f t="shared" si="9"/>
        <v/>
      </c>
      <c r="H83" s="3" t="s">
        <v>1</v>
      </c>
      <c r="K83" s="38">
        <f t="shared" si="7"/>
        <v>0</v>
      </c>
      <c r="L83" s="3" t="str">
        <f>IF(ISBLANK(INICIO!B80),"",CONCATENATE("                ",D83,E83,F83,G83,H83))</f>
        <v/>
      </c>
    </row>
    <row r="84" spans="1:12" hidden="1" x14ac:dyDescent="0.25">
      <c r="A84" t="str">
        <f t="shared" si="6"/>
        <v/>
      </c>
      <c r="B84" t="str">
        <f t="shared" si="10"/>
        <v/>
      </c>
      <c r="D84" s="3" t="s">
        <v>0</v>
      </c>
      <c r="E84" s="5" t="str">
        <f>INICIO!K81</f>
        <v/>
      </c>
      <c r="F84" s="3" t="str">
        <f t="shared" si="8"/>
        <v>" , _empresamatriz.</v>
      </c>
      <c r="G84" s="3" t="str">
        <f t="shared" si="9"/>
        <v/>
      </c>
      <c r="H84" s="3" t="s">
        <v>1</v>
      </c>
      <c r="K84" s="38">
        <f t="shared" si="7"/>
        <v>0</v>
      </c>
      <c r="L84" s="3" t="str">
        <f>IF(ISBLANK(INICIO!B81),"",CONCATENATE("                ",D84,E84,F84,G84,H84))</f>
        <v/>
      </c>
    </row>
    <row r="85" spans="1:12" hidden="1" x14ac:dyDescent="0.25">
      <c r="A85" t="str">
        <f t="shared" si="6"/>
        <v/>
      </c>
      <c r="B85" t="str">
        <f t="shared" si="10"/>
        <v/>
      </c>
      <c r="D85" s="3" t="s">
        <v>0</v>
      </c>
      <c r="E85" s="5" t="str">
        <f>INICIO!K82</f>
        <v/>
      </c>
      <c r="F85" s="3" t="str">
        <f t="shared" si="8"/>
        <v>" , _empresamatriz.</v>
      </c>
      <c r="G85" s="3" t="str">
        <f t="shared" si="9"/>
        <v/>
      </c>
      <c r="H85" s="3" t="s">
        <v>1</v>
      </c>
      <c r="K85" s="38">
        <f t="shared" si="7"/>
        <v>0</v>
      </c>
      <c r="L85" s="3" t="str">
        <f>IF(ISBLANK(INICIO!B82),"",CONCATENATE("                ",D85,E85,F85,G85,H85))</f>
        <v/>
      </c>
    </row>
    <row r="86" spans="1:12" hidden="1" x14ac:dyDescent="0.25">
      <c r="A86" t="str">
        <f t="shared" si="6"/>
        <v/>
      </c>
      <c r="B86" t="str">
        <f t="shared" si="10"/>
        <v/>
      </c>
      <c r="D86" s="3" t="s">
        <v>0</v>
      </c>
      <c r="E86" s="5" t="str">
        <f>INICIO!K83</f>
        <v/>
      </c>
      <c r="F86" s="3" t="str">
        <f t="shared" si="8"/>
        <v>" , _empresamatriz.</v>
      </c>
      <c r="G86" s="3" t="str">
        <f t="shared" si="9"/>
        <v/>
      </c>
      <c r="H86" s="3" t="s">
        <v>1</v>
      </c>
      <c r="K86" s="38">
        <f t="shared" si="7"/>
        <v>0</v>
      </c>
      <c r="L86" s="3" t="str">
        <f>IF(ISBLANK(INICIO!B83),"",CONCATENATE("                ",D86,E86,F86,G86,H86))</f>
        <v/>
      </c>
    </row>
    <row r="87" spans="1:12" hidden="1" x14ac:dyDescent="0.25">
      <c r="A87" t="str">
        <f t="shared" si="6"/>
        <v/>
      </c>
      <c r="B87" t="str">
        <f t="shared" si="10"/>
        <v/>
      </c>
      <c r="D87" s="3" t="s">
        <v>0</v>
      </c>
      <c r="E87" s="5" t="str">
        <f>INICIO!K84</f>
        <v/>
      </c>
      <c r="F87" s="3" t="str">
        <f t="shared" si="8"/>
        <v>" , _empresamatriz.</v>
      </c>
      <c r="G87" s="3" t="str">
        <f t="shared" si="9"/>
        <v/>
      </c>
      <c r="H87" s="3" t="s">
        <v>1</v>
      </c>
      <c r="K87" s="38">
        <f t="shared" si="7"/>
        <v>0</v>
      </c>
      <c r="L87" s="3" t="str">
        <f>IF(ISBLANK(INICIO!B84),"",CONCATENATE("                ",D87,E87,F87,G87,H87))</f>
        <v/>
      </c>
    </row>
    <row r="88" spans="1:12" hidden="1" x14ac:dyDescent="0.25">
      <c r="A88" t="str">
        <f t="shared" si="6"/>
        <v/>
      </c>
      <c r="B88" t="str">
        <f t="shared" si="10"/>
        <v/>
      </c>
      <c r="D88" s="3" t="s">
        <v>0</v>
      </c>
      <c r="E88" s="5" t="str">
        <f>INICIO!K85</f>
        <v/>
      </c>
      <c r="F88" s="3" t="str">
        <f t="shared" si="8"/>
        <v>" , _empresamatriz.</v>
      </c>
      <c r="G88" s="3" t="str">
        <f t="shared" si="9"/>
        <v/>
      </c>
      <c r="H88" s="3" t="s">
        <v>1</v>
      </c>
      <c r="K88" s="38">
        <f t="shared" si="7"/>
        <v>0</v>
      </c>
      <c r="L88" s="3" t="str">
        <f>IF(ISBLANK(INICIO!B85),"",CONCATENATE("                ",D88,E88,F88,G88,H88))</f>
        <v/>
      </c>
    </row>
    <row r="89" spans="1:12" hidden="1" x14ac:dyDescent="0.25">
      <c r="A89" t="str">
        <f t="shared" si="6"/>
        <v/>
      </c>
      <c r="B89" t="str">
        <f t="shared" si="10"/>
        <v/>
      </c>
      <c r="D89" s="3" t="s">
        <v>0</v>
      </c>
      <c r="E89" s="5" t="str">
        <f>INICIO!K86</f>
        <v/>
      </c>
      <c r="F89" s="3" t="str">
        <f t="shared" si="8"/>
        <v>" , _empresamatriz.</v>
      </c>
      <c r="G89" s="3" t="str">
        <f t="shared" si="9"/>
        <v/>
      </c>
      <c r="H89" s="3" t="s">
        <v>1</v>
      </c>
      <c r="K89" s="38">
        <f t="shared" si="7"/>
        <v>0</v>
      </c>
      <c r="L89" s="3" t="str">
        <f>IF(ISBLANK(INICIO!B86),"",CONCATENATE("                ",D89,E89,F89,G89,H89))</f>
        <v/>
      </c>
    </row>
    <row r="90" spans="1:12" hidden="1" x14ac:dyDescent="0.25">
      <c r="A90" t="str">
        <f t="shared" si="6"/>
        <v/>
      </c>
      <c r="B90" t="str">
        <f t="shared" si="10"/>
        <v/>
      </c>
      <c r="D90" s="3" t="s">
        <v>0</v>
      </c>
      <c r="E90" s="5" t="str">
        <f>INICIO!K87</f>
        <v/>
      </c>
      <c r="F90" s="3" t="str">
        <f t="shared" si="8"/>
        <v>" , _empresamatriz.</v>
      </c>
      <c r="G90" s="3" t="str">
        <f t="shared" si="9"/>
        <v/>
      </c>
      <c r="H90" s="3" t="s">
        <v>1</v>
      </c>
      <c r="K90" s="38">
        <f t="shared" si="7"/>
        <v>0</v>
      </c>
      <c r="L90" s="3" t="str">
        <f>IF(ISBLANK(INICIO!B87),"",CONCATENATE("                ",D90,E90,F90,G90,H90))</f>
        <v/>
      </c>
    </row>
    <row r="91" spans="1:12" hidden="1" x14ac:dyDescent="0.25">
      <c r="A91" t="str">
        <f t="shared" si="6"/>
        <v/>
      </c>
      <c r="B91" t="str">
        <f t="shared" si="10"/>
        <v/>
      </c>
      <c r="D91" s="3" t="s">
        <v>0</v>
      </c>
      <c r="E91" s="5" t="str">
        <f>INICIO!K88</f>
        <v/>
      </c>
      <c r="F91" s="3" t="str">
        <f t="shared" si="8"/>
        <v>" , _empresamatriz.</v>
      </c>
      <c r="G91" s="3" t="str">
        <f t="shared" si="9"/>
        <v/>
      </c>
      <c r="H91" s="3" t="s">
        <v>1</v>
      </c>
      <c r="K91" s="38">
        <f t="shared" si="7"/>
        <v>0</v>
      </c>
      <c r="L91" s="3" t="str">
        <f>IF(ISBLANK(INICIO!B88),"",CONCATENATE("                ",D91,E91,F91,G91,H91))</f>
        <v/>
      </c>
    </row>
    <row r="92" spans="1:12" hidden="1" x14ac:dyDescent="0.25">
      <c r="A92" t="str">
        <f t="shared" si="6"/>
        <v/>
      </c>
      <c r="B92" t="str">
        <f t="shared" si="10"/>
        <v/>
      </c>
      <c r="D92" s="3" t="s">
        <v>0</v>
      </c>
      <c r="E92" s="5" t="str">
        <f>INICIO!K89</f>
        <v/>
      </c>
      <c r="F92" s="3" t="str">
        <f t="shared" si="8"/>
        <v>" , _empresamatriz.</v>
      </c>
      <c r="G92" s="3" t="str">
        <f t="shared" si="9"/>
        <v/>
      </c>
      <c r="H92" s="3" t="s">
        <v>1</v>
      </c>
      <c r="K92" s="38">
        <f t="shared" si="7"/>
        <v>0</v>
      </c>
      <c r="L92" s="3" t="str">
        <f>IF(ISBLANK(INICIO!B89),"",CONCATENATE("                ",D92,E92,F92,G92,H92))</f>
        <v/>
      </c>
    </row>
    <row r="93" spans="1:12" hidden="1" x14ac:dyDescent="0.25">
      <c r="A93" t="str">
        <f t="shared" si="6"/>
        <v/>
      </c>
      <c r="B93" t="str">
        <f t="shared" si="10"/>
        <v/>
      </c>
      <c r="D93" s="3" t="s">
        <v>0</v>
      </c>
      <c r="E93" s="5" t="str">
        <f>INICIO!K90</f>
        <v/>
      </c>
      <c r="F93" s="3" t="str">
        <f t="shared" si="8"/>
        <v>" , _empresamatriz.</v>
      </c>
      <c r="G93" s="3" t="str">
        <f t="shared" si="9"/>
        <v/>
      </c>
      <c r="H93" s="3" t="s">
        <v>1</v>
      </c>
      <c r="K93" s="38">
        <f t="shared" si="7"/>
        <v>0</v>
      </c>
      <c r="L93" s="3" t="str">
        <f>IF(ISBLANK(INICIO!B90),"",CONCATENATE("                ",D93,E93,F93,G93,H93))</f>
        <v/>
      </c>
    </row>
    <row r="94" spans="1:12" hidden="1" x14ac:dyDescent="0.25">
      <c r="A94" t="str">
        <f t="shared" si="6"/>
        <v/>
      </c>
      <c r="B94" t="str">
        <f t="shared" si="10"/>
        <v/>
      </c>
      <c r="D94" s="3" t="s">
        <v>0</v>
      </c>
      <c r="E94" s="5" t="str">
        <f>INICIO!K91</f>
        <v/>
      </c>
      <c r="F94" s="3" t="str">
        <f t="shared" si="8"/>
        <v>" , _empresamatriz.</v>
      </c>
      <c r="G94" s="3" t="str">
        <f t="shared" si="9"/>
        <v/>
      </c>
      <c r="H94" s="3" t="s">
        <v>1</v>
      </c>
      <c r="K94" s="38">
        <f t="shared" si="7"/>
        <v>0</v>
      </c>
      <c r="L94" s="3" t="str">
        <f>IF(ISBLANK(INICIO!B91),"",CONCATENATE("                ",D94,E94,F94,G94,H94))</f>
        <v/>
      </c>
    </row>
    <row r="95" spans="1:12" hidden="1" x14ac:dyDescent="0.25">
      <c r="A95" t="str">
        <f t="shared" si="6"/>
        <v/>
      </c>
      <c r="B95" t="str">
        <f t="shared" si="10"/>
        <v/>
      </c>
      <c r="D95" s="3" t="s">
        <v>0</v>
      </c>
      <c r="E95" s="5" t="str">
        <f>INICIO!K92</f>
        <v/>
      </c>
      <c r="F95" s="3" t="str">
        <f t="shared" si="8"/>
        <v>" , _empresamatriz.</v>
      </c>
      <c r="G95" s="3" t="str">
        <f t="shared" si="9"/>
        <v/>
      </c>
      <c r="H95" s="3" t="s">
        <v>1</v>
      </c>
      <c r="K95" s="38">
        <f t="shared" si="7"/>
        <v>0</v>
      </c>
      <c r="L95" s="3" t="str">
        <f>IF(ISBLANK(INICIO!B92),"",CONCATENATE("                ",D95,E95,F95,G95,H95))</f>
        <v/>
      </c>
    </row>
    <row r="96" spans="1:12" hidden="1" x14ac:dyDescent="0.25">
      <c r="A96" t="str">
        <f t="shared" si="6"/>
        <v/>
      </c>
      <c r="B96" t="str">
        <f t="shared" si="10"/>
        <v/>
      </c>
      <c r="D96" s="3" t="s">
        <v>0</v>
      </c>
      <c r="E96" s="5" t="str">
        <f>INICIO!K93</f>
        <v/>
      </c>
      <c r="F96" s="3" t="str">
        <f t="shared" si="8"/>
        <v>" , _empresamatriz.</v>
      </c>
      <c r="G96" s="3" t="str">
        <f t="shared" si="9"/>
        <v/>
      </c>
      <c r="H96" s="3" t="s">
        <v>1</v>
      </c>
      <c r="K96" s="38">
        <f t="shared" si="7"/>
        <v>0</v>
      </c>
      <c r="L96" s="3" t="str">
        <f>IF(ISBLANK(INICIO!B93),"",CONCATENATE("                ",D96,E96,F96,G96,H96))</f>
        <v/>
      </c>
    </row>
    <row r="97" spans="1:12" hidden="1" x14ac:dyDescent="0.25">
      <c r="A97" t="str">
        <f t="shared" si="6"/>
        <v/>
      </c>
      <c r="B97" t="str">
        <f t="shared" si="10"/>
        <v/>
      </c>
      <c r="D97" s="3" t="s">
        <v>0</v>
      </c>
      <c r="E97" s="5" t="str">
        <f>INICIO!K94</f>
        <v/>
      </c>
      <c r="F97" s="3" t="str">
        <f t="shared" si="8"/>
        <v>" , _empresamatriz.</v>
      </c>
      <c r="G97" s="3" t="str">
        <f t="shared" si="9"/>
        <v/>
      </c>
      <c r="H97" s="3" t="s">
        <v>1</v>
      </c>
      <c r="K97" s="38">
        <f t="shared" si="7"/>
        <v>0</v>
      </c>
      <c r="L97" s="3" t="str">
        <f>IF(ISBLANK(INICIO!B94),"",CONCATENATE("                ",D97,E97,F97,G97,H97))</f>
        <v/>
      </c>
    </row>
    <row r="98" spans="1:12" hidden="1" x14ac:dyDescent="0.25">
      <c r="A98" t="str">
        <f t="shared" ref="A98:A112" si="11">IF(E98 &lt;&gt; "",CONCATENATE(", `",E98,"` "),"")</f>
        <v/>
      </c>
      <c r="B98" t="str">
        <f t="shared" si="10"/>
        <v/>
      </c>
      <c r="D98" s="3" t="s">
        <v>0</v>
      </c>
      <c r="E98" s="5" t="str">
        <f>INICIO!K95</f>
        <v/>
      </c>
      <c r="F98" s="3" t="str">
        <f t="shared" si="8"/>
        <v>" , _empresamatriz.</v>
      </c>
      <c r="G98" s="3" t="str">
        <f t="shared" si="9"/>
        <v/>
      </c>
      <c r="H98" s="3" t="s">
        <v>1</v>
      </c>
      <c r="K98" s="38">
        <f t="shared" si="7"/>
        <v>0</v>
      </c>
      <c r="L98" s="3" t="str">
        <f>IF(ISBLANK(INICIO!B95),"",CONCATENATE("                ",D98,E98,F98,G98,H98))</f>
        <v/>
      </c>
    </row>
    <row r="99" spans="1:12" hidden="1" x14ac:dyDescent="0.25">
      <c r="A99" t="str">
        <f t="shared" si="11"/>
        <v/>
      </c>
      <c r="B99" t="str">
        <f t="shared" si="10"/>
        <v/>
      </c>
      <c r="D99" s="3" t="s">
        <v>0</v>
      </c>
      <c r="E99" s="5" t="str">
        <f>INICIO!K96</f>
        <v/>
      </c>
      <c r="F99" s="3" t="str">
        <f t="shared" si="8"/>
        <v>" , _empresamatriz.</v>
      </c>
      <c r="G99" s="3" t="str">
        <f t="shared" si="9"/>
        <v/>
      </c>
      <c r="H99" s="3" t="s">
        <v>1</v>
      </c>
      <c r="K99" s="38">
        <f t="shared" si="7"/>
        <v>0</v>
      </c>
      <c r="L99" s="3" t="str">
        <f>IF(ISBLANK(INICIO!B96),"",CONCATENATE("                ",D99,E99,F99,G99,H99))</f>
        <v/>
      </c>
    </row>
    <row r="100" spans="1:12" hidden="1" x14ac:dyDescent="0.25">
      <c r="A100" t="str">
        <f t="shared" si="11"/>
        <v/>
      </c>
      <c r="B100" t="str">
        <f t="shared" si="10"/>
        <v/>
      </c>
      <c r="D100" s="3" t="s">
        <v>0</v>
      </c>
      <c r="E100" s="5" t="str">
        <f>INICIO!K97</f>
        <v/>
      </c>
      <c r="F100" s="3" t="str">
        <f t="shared" si="8"/>
        <v>" , _empresamatriz.</v>
      </c>
      <c r="G100" s="3" t="str">
        <f t="shared" si="9"/>
        <v/>
      </c>
      <c r="H100" s="3" t="s">
        <v>1</v>
      </c>
      <c r="K100" s="38">
        <f t="shared" si="7"/>
        <v>0</v>
      </c>
      <c r="L100" s="3" t="str">
        <f>IF(ISBLANK(INICIO!B97),"",CONCATENATE("                ",D100,E100,F100,G100,H100))</f>
        <v/>
      </c>
    </row>
    <row r="101" spans="1:12" hidden="1" x14ac:dyDescent="0.25">
      <c r="A101" t="str">
        <f t="shared" si="11"/>
        <v/>
      </c>
      <c r="B101" t="str">
        <f t="shared" si="10"/>
        <v/>
      </c>
      <c r="D101" s="3" t="s">
        <v>0</v>
      </c>
      <c r="E101" s="5" t="str">
        <f>INICIO!K98</f>
        <v/>
      </c>
      <c r="F101" s="3" t="str">
        <f t="shared" si="8"/>
        <v>" , _empresamatriz.</v>
      </c>
      <c r="G101" s="3" t="str">
        <f t="shared" si="9"/>
        <v/>
      </c>
      <c r="H101" s="3" t="s">
        <v>1</v>
      </c>
      <c r="K101" s="38">
        <f t="shared" si="7"/>
        <v>0</v>
      </c>
      <c r="L101" s="3" t="str">
        <f>IF(ISBLANK(INICIO!B98),"",CONCATENATE("                ",D101,E101,F101,G101,H101))</f>
        <v/>
      </c>
    </row>
    <row r="102" spans="1:12" hidden="1" x14ac:dyDescent="0.25">
      <c r="A102" t="str">
        <f t="shared" si="11"/>
        <v/>
      </c>
      <c r="B102" t="str">
        <f t="shared" si="10"/>
        <v/>
      </c>
      <c r="D102" s="3" t="s">
        <v>0</v>
      </c>
      <c r="E102" s="5" t="str">
        <f>INICIO!K99</f>
        <v/>
      </c>
      <c r="F102" s="3" t="str">
        <f t="shared" si="8"/>
        <v>" , _empresamatriz.</v>
      </c>
      <c r="G102" s="3" t="str">
        <f t="shared" si="9"/>
        <v/>
      </c>
      <c r="H102" s="3" t="s">
        <v>1</v>
      </c>
      <c r="K102" s="38">
        <f t="shared" si="7"/>
        <v>0</v>
      </c>
      <c r="L102" s="3" t="str">
        <f>IF(ISBLANK(INICIO!B99),"",CONCATENATE("                ",D102,E102,F102,G102,H102))</f>
        <v/>
      </c>
    </row>
    <row r="103" spans="1:12" hidden="1" x14ac:dyDescent="0.25">
      <c r="A103" t="str">
        <f t="shared" si="11"/>
        <v/>
      </c>
      <c r="B103" t="str">
        <f t="shared" si="10"/>
        <v/>
      </c>
      <c r="D103" s="3" t="s">
        <v>0</v>
      </c>
      <c r="E103" s="5" t="str">
        <f>INICIO!K100</f>
        <v/>
      </c>
      <c r="F103" s="3" t="str">
        <f t="shared" si="8"/>
        <v>" , _empresamatriz.</v>
      </c>
      <c r="G103" s="3" t="str">
        <f t="shared" si="9"/>
        <v/>
      </c>
      <c r="H103" s="3" t="s">
        <v>1</v>
      </c>
      <c r="K103" s="38">
        <f t="shared" si="7"/>
        <v>0</v>
      </c>
      <c r="L103" s="3" t="str">
        <f>IF(ISBLANK(INICIO!B100),"",CONCATENATE("                ",D103,E103,F103,G103,H103))</f>
        <v/>
      </c>
    </row>
    <row r="104" spans="1:12" hidden="1" x14ac:dyDescent="0.25">
      <c r="A104" t="str">
        <f t="shared" si="11"/>
        <v/>
      </c>
      <c r="B104" t="str">
        <f t="shared" si="10"/>
        <v/>
      </c>
      <c r="D104" s="3" t="s">
        <v>0</v>
      </c>
      <c r="E104" s="5" t="str">
        <f>INICIO!K101</f>
        <v/>
      </c>
      <c r="F104" s="3" t="str">
        <f t="shared" si="8"/>
        <v>" , _empresamatriz.</v>
      </c>
      <c r="G104" s="3" t="str">
        <f t="shared" si="9"/>
        <v/>
      </c>
      <c r="H104" s="3" t="s">
        <v>1</v>
      </c>
      <c r="K104" s="38">
        <f t="shared" si="7"/>
        <v>0</v>
      </c>
      <c r="L104" s="3" t="str">
        <f>IF(ISBLANK(INICIO!B101),"",CONCATENATE("                ",D104,E104,F104,G104,H104))</f>
        <v/>
      </c>
    </row>
    <row r="105" spans="1:12" hidden="1" x14ac:dyDescent="0.25">
      <c r="A105" t="str">
        <f t="shared" si="11"/>
        <v/>
      </c>
      <c r="B105" t="str">
        <f t="shared" si="10"/>
        <v/>
      </c>
      <c r="D105" s="3" t="s">
        <v>0</v>
      </c>
      <c r="E105" s="5" t="str">
        <f>INICIO!K102</f>
        <v/>
      </c>
      <c r="F105" s="3" t="str">
        <f t="shared" si="8"/>
        <v>" , _empresamatriz.</v>
      </c>
      <c r="G105" s="3" t="str">
        <f t="shared" si="9"/>
        <v/>
      </c>
      <c r="H105" s="3" t="s">
        <v>1</v>
      </c>
      <c r="K105" s="38">
        <f t="shared" si="7"/>
        <v>0</v>
      </c>
      <c r="L105" s="3" t="str">
        <f>IF(ISBLANK(INICIO!B102),"",CONCATENATE("                ",D105,E105,F105,G105,H105))</f>
        <v/>
      </c>
    </row>
    <row r="106" spans="1:12" hidden="1" x14ac:dyDescent="0.25">
      <c r="A106" t="str">
        <f t="shared" si="11"/>
        <v/>
      </c>
      <c r="B106" t="str">
        <f t="shared" si="10"/>
        <v/>
      </c>
      <c r="D106" s="3" t="s">
        <v>0</v>
      </c>
      <c r="E106" s="5" t="str">
        <f>INICIO!K103</f>
        <v/>
      </c>
      <c r="F106" s="3" t="str">
        <f t="shared" si="8"/>
        <v>" , _empresamatriz.</v>
      </c>
      <c r="G106" s="3" t="str">
        <f t="shared" si="9"/>
        <v/>
      </c>
      <c r="H106" s="3" t="s">
        <v>1</v>
      </c>
      <c r="K106" s="38">
        <f t="shared" si="7"/>
        <v>0</v>
      </c>
      <c r="L106" s="3" t="str">
        <f>IF(ISBLANK(INICIO!B103),"",CONCATENATE("                ",D106,E106,F106,G106,H106))</f>
        <v/>
      </c>
    </row>
    <row r="107" spans="1:12" hidden="1" x14ac:dyDescent="0.25">
      <c r="A107" t="str">
        <f t="shared" si="11"/>
        <v/>
      </c>
      <c r="B107" t="str">
        <f t="shared" si="10"/>
        <v/>
      </c>
      <c r="D107" s="3" t="s">
        <v>0</v>
      </c>
      <c r="E107" s="5" t="str">
        <f>INICIO!K104</f>
        <v/>
      </c>
      <c r="F107" s="3" t="str">
        <f t="shared" si="8"/>
        <v>" , _empresamatriz.</v>
      </c>
      <c r="G107" s="3" t="str">
        <f t="shared" si="9"/>
        <v/>
      </c>
      <c r="H107" s="3" t="s">
        <v>1</v>
      </c>
      <c r="K107" s="38">
        <f t="shared" si="7"/>
        <v>0</v>
      </c>
      <c r="L107" s="3" t="str">
        <f>IF(ISBLANK(INICIO!B104),"",CONCATENATE("                ",D107,E107,F107,G107,H107))</f>
        <v/>
      </c>
    </row>
    <row r="108" spans="1:12" hidden="1" x14ac:dyDescent="0.25">
      <c r="A108" t="str">
        <f t="shared" si="11"/>
        <v/>
      </c>
      <c r="B108" t="str">
        <f t="shared" si="10"/>
        <v/>
      </c>
      <c r="D108" s="3" t="s">
        <v>0</v>
      </c>
      <c r="E108" s="5" t="str">
        <f>INICIO!K105</f>
        <v/>
      </c>
      <c r="F108" s="3" t="str">
        <f t="shared" si="8"/>
        <v>" , _empresamatriz.</v>
      </c>
      <c r="G108" s="3" t="str">
        <f t="shared" si="9"/>
        <v/>
      </c>
      <c r="H108" s="3" t="s">
        <v>1</v>
      </c>
      <c r="K108" s="38">
        <f t="shared" si="7"/>
        <v>0</v>
      </c>
      <c r="L108" s="3" t="str">
        <f>IF(ISBLANK(INICIO!B105),"",CONCATENATE("                ",D108,E108,F108,G108,H108))</f>
        <v/>
      </c>
    </row>
    <row r="109" spans="1:12" hidden="1" x14ac:dyDescent="0.25">
      <c r="A109" t="str">
        <f t="shared" si="11"/>
        <v/>
      </c>
      <c r="B109" t="str">
        <f t="shared" si="10"/>
        <v/>
      </c>
      <c r="D109" s="3" t="s">
        <v>0</v>
      </c>
      <c r="E109" s="5" t="str">
        <f>INICIO!K106</f>
        <v/>
      </c>
      <c r="F109" s="3" t="str">
        <f t="shared" si="8"/>
        <v>" , _empresamatriz.</v>
      </c>
      <c r="G109" s="3" t="str">
        <f t="shared" si="9"/>
        <v/>
      </c>
      <c r="H109" s="3" t="s">
        <v>1</v>
      </c>
      <c r="K109" s="38">
        <f t="shared" si="7"/>
        <v>0</v>
      </c>
      <c r="L109" s="3" t="str">
        <f>IF(ISBLANK(INICIO!B106),"",CONCATENATE("                ",D109,E109,F109,G109,H109))</f>
        <v/>
      </c>
    </row>
    <row r="110" spans="1:12" hidden="1" x14ac:dyDescent="0.25">
      <c r="A110" t="str">
        <f t="shared" si="11"/>
        <v/>
      </c>
      <c r="B110" t="str">
        <f t="shared" si="10"/>
        <v/>
      </c>
      <c r="D110" s="3" t="s">
        <v>0</v>
      </c>
      <c r="E110" s="5" t="str">
        <f>INICIO!K107</f>
        <v/>
      </c>
      <c r="F110" s="3" t="str">
        <f t="shared" si="8"/>
        <v>" , _empresamatriz.</v>
      </c>
      <c r="G110" s="3" t="str">
        <f t="shared" si="9"/>
        <v/>
      </c>
      <c r="H110" s="3" t="s">
        <v>1</v>
      </c>
      <c r="K110" s="38">
        <f t="shared" si="7"/>
        <v>0</v>
      </c>
      <c r="L110" s="3" t="str">
        <f>IF(ISBLANK(INICIO!B107),"",CONCATENATE("                ",D110,E110,F110,G110,H110))</f>
        <v/>
      </c>
    </row>
    <row r="111" spans="1:12" hidden="1" x14ac:dyDescent="0.25">
      <c r="A111" t="str">
        <f t="shared" si="11"/>
        <v/>
      </c>
      <c r="B111" t="str">
        <f t="shared" si="10"/>
        <v/>
      </c>
      <c r="D111" s="3" t="s">
        <v>0</v>
      </c>
      <c r="E111" s="5" t="str">
        <f>INICIO!K108</f>
        <v/>
      </c>
      <c r="F111" s="3" t="str">
        <f t="shared" si="8"/>
        <v>" , _empresamatriz.</v>
      </c>
      <c r="G111" s="3" t="str">
        <f t="shared" si="9"/>
        <v/>
      </c>
      <c r="H111" s="3" t="s">
        <v>1</v>
      </c>
      <c r="K111" s="38">
        <f t="shared" si="7"/>
        <v>0</v>
      </c>
      <c r="L111" s="3" t="str">
        <f>IF(ISBLANK(INICIO!B108),"",CONCATENATE("                ",D111,E111,F111,G111,H111))</f>
        <v/>
      </c>
    </row>
    <row r="112" spans="1:12" hidden="1" x14ac:dyDescent="0.25">
      <c r="A112" t="str">
        <f t="shared" si="11"/>
        <v/>
      </c>
      <c r="B112" t="str">
        <f t="shared" si="10"/>
        <v/>
      </c>
      <c r="D112" s="3" t="s">
        <v>0</v>
      </c>
      <c r="E112" s="5" t="str">
        <f>INICIO!K109</f>
        <v/>
      </c>
      <c r="F112" s="3" t="str">
        <f t="shared" si="8"/>
        <v>" , _empresamatriz.</v>
      </c>
      <c r="G112" s="3" t="str">
        <f t="shared" si="9"/>
        <v/>
      </c>
      <c r="H112" s="3" t="s">
        <v>1</v>
      </c>
      <c r="K112" s="38">
        <f t="shared" si="7"/>
        <v>0</v>
      </c>
      <c r="L112" s="3" t="str">
        <f>IF(ISBLANK(INICIO!B109),"",CONCATENATE("                ",D112,E112,F112,G112,H112))</f>
        <v/>
      </c>
    </row>
    <row r="113" spans="4:12" x14ac:dyDescent="0.25">
      <c r="K113" s="38">
        <f t="shared" si="7"/>
        <v>1</v>
      </c>
      <c r="L113" s="3" t="s">
        <v>119</v>
      </c>
    </row>
    <row r="114" spans="4:12" x14ac:dyDescent="0.25">
      <c r="K114" s="38">
        <f t="shared" si="7"/>
        <v>1</v>
      </c>
      <c r="L114" s="3" t="s">
        <v>115</v>
      </c>
    </row>
    <row r="115" spans="4:12" x14ac:dyDescent="0.25">
      <c r="K115" s="38">
        <f t="shared" si="7"/>
        <v>1</v>
      </c>
      <c r="L115" s="3" t="s">
        <v>23</v>
      </c>
    </row>
    <row r="116" spans="4:12" x14ac:dyDescent="0.25">
      <c r="K116" s="38">
        <f t="shared" si="7"/>
        <v>1</v>
      </c>
      <c r="L116" s="3" t="s">
        <v>24</v>
      </c>
    </row>
    <row r="117" spans="4:12" x14ac:dyDescent="0.25">
      <c r="K117" s="38">
        <f t="shared" si="7"/>
        <v>1</v>
      </c>
      <c r="L117" s="3" t="s">
        <v>25</v>
      </c>
    </row>
    <row r="118" spans="4:12" x14ac:dyDescent="0.25">
      <c r="K118" s="38">
        <f t="shared" si="7"/>
        <v>1</v>
      </c>
      <c r="L118" s="3" t="s">
        <v>26</v>
      </c>
    </row>
    <row r="119" spans="4:12" x14ac:dyDescent="0.25">
      <c r="K119" s="38">
        <f t="shared" si="7"/>
        <v>1</v>
      </c>
      <c r="L119" s="3" t="s">
        <v>27</v>
      </c>
    </row>
    <row r="120" spans="4:12" x14ac:dyDescent="0.25">
      <c r="K120" s="38">
        <f t="shared" si="7"/>
        <v>1</v>
      </c>
      <c r="L120" s="3" t="s">
        <v>28</v>
      </c>
    </row>
    <row r="121" spans="4:12" x14ac:dyDescent="0.25">
      <c r="K121" s="38">
        <f t="shared" si="7"/>
        <v>1</v>
      </c>
      <c r="L121" s="3" t="s">
        <v>29</v>
      </c>
    </row>
    <row r="122" spans="4:12" x14ac:dyDescent="0.25">
      <c r="K122" s="38">
        <f t="shared" si="7"/>
        <v>1</v>
      </c>
      <c r="L122" s="3" t="s">
        <v>30</v>
      </c>
    </row>
    <row r="123" spans="4:12" x14ac:dyDescent="0.25">
      <c r="K123" s="38">
        <f t="shared" si="7"/>
        <v>1</v>
      </c>
      <c r="L123" s="3" t="s">
        <v>12</v>
      </c>
    </row>
    <row r="124" spans="4:12" x14ac:dyDescent="0.25">
      <c r="K124" s="38">
        <f t="shared" si="7"/>
        <v>1</v>
      </c>
      <c r="L124" s="3" t="s">
        <v>83</v>
      </c>
    </row>
    <row r="125" spans="4:12" x14ac:dyDescent="0.25">
      <c r="K125" s="38">
        <f t="shared" si="7"/>
        <v>1</v>
      </c>
      <c r="L125" s="3" t="s">
        <v>11</v>
      </c>
    </row>
    <row r="126" spans="4:12" x14ac:dyDescent="0.25">
      <c r="K126" s="38">
        <f t="shared" si="7"/>
        <v>1</v>
      </c>
      <c r="L126" s="3" t="s">
        <v>118</v>
      </c>
    </row>
    <row r="127" spans="4:12" x14ac:dyDescent="0.25">
      <c r="K127" s="38">
        <f t="shared" si="7"/>
        <v>1</v>
      </c>
      <c r="L127" s="3" t="s">
        <v>12</v>
      </c>
    </row>
    <row r="128" spans="4:12" x14ac:dyDescent="0.25">
      <c r="D128" t="s">
        <v>70</v>
      </c>
      <c r="K128" s="38">
        <f t="shared" si="7"/>
        <v>1</v>
      </c>
      <c r="L128" s="3" t="s">
        <v>121</v>
      </c>
    </row>
    <row r="129" spans="11:12" x14ac:dyDescent="0.25">
      <c r="K129" s="38">
        <f t="shared" si="7"/>
        <v>1</v>
      </c>
      <c r="L129" s="3" t="s">
        <v>155</v>
      </c>
    </row>
    <row r="130" spans="11:12" x14ac:dyDescent="0.25">
      <c r="K130" s="38">
        <f t="shared" si="7"/>
        <v>1</v>
      </c>
      <c r="L130" s="3" t="s">
        <v>155</v>
      </c>
    </row>
    <row r="131" spans="11:12" x14ac:dyDescent="0.25">
      <c r="K131" s="38">
        <f t="shared" si="7"/>
        <v>1</v>
      </c>
      <c r="L131" s="3" t="s">
        <v>155</v>
      </c>
    </row>
    <row r="132" spans="11:12" x14ac:dyDescent="0.25">
      <c r="K132" s="38">
        <f t="shared" si="7"/>
        <v>1</v>
      </c>
      <c r="L132" s="3" t="s">
        <v>155</v>
      </c>
    </row>
    <row r="133" spans="11:12" x14ac:dyDescent="0.25">
      <c r="K133" s="38">
        <f t="shared" si="7"/>
        <v>1</v>
      </c>
      <c r="L133" s="3" t="s">
        <v>156</v>
      </c>
    </row>
  </sheetData>
  <sheetProtection sheet="1" objects="1" scenarios="1"/>
  <autoFilter ref="K5:L13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filterMode="1">
    <tabColor rgb="FFFFFF00"/>
  </sheetPr>
  <dimension ref="A1:J123"/>
  <sheetViews>
    <sheetView showGridLines="0" topLeftCell="H1" workbookViewId="0">
      <selection activeCell="I1" sqref="I1:J519"/>
    </sheetView>
  </sheetViews>
  <sheetFormatPr defaultRowHeight="15" x14ac:dyDescent="0.25"/>
  <cols>
    <col min="1" max="1" width="17.7109375" hidden="1" customWidth="1"/>
    <col min="2" max="2" width="44" hidden="1" customWidth="1"/>
    <col min="3" max="3" width="27.7109375" hidden="1" customWidth="1"/>
    <col min="4" max="4" width="13.42578125" hidden="1" customWidth="1"/>
    <col min="5" max="5" width="42.28515625" style="4" hidden="1" customWidth="1"/>
    <col min="6" max="6" width="13.42578125" style="4" hidden="1" customWidth="1"/>
    <col min="7" max="7" width="9" style="4" hidden="1" customWidth="1"/>
    <col min="8" max="8" width="9.140625" style="4"/>
    <col min="9" max="9" width="9.28515625" hidden="1" customWidth="1"/>
    <col min="10" max="10" width="103.28515625" customWidth="1"/>
  </cols>
  <sheetData>
    <row r="1" spans="1:10" ht="15.75" thickBot="1" x14ac:dyDescent="0.3">
      <c r="I1" s="41" t="s">
        <v>117</v>
      </c>
      <c r="J1" s="42" t="s">
        <v>116</v>
      </c>
    </row>
    <row r="2" spans="1:10" x14ac:dyDescent="0.25">
      <c r="B2" s="1" t="s">
        <v>141</v>
      </c>
      <c r="C2" t="str">
        <f>INICIO!D5</f>
        <v>Empresa</v>
      </c>
      <c r="D2" t="str">
        <f>CONCATENATE(" _",LOWER(INICIO!D3))</f>
        <v xml:space="preserve"> _empresamatriz</v>
      </c>
      <c r="E2" s="4" t="s">
        <v>131</v>
      </c>
      <c r="I2" s="37">
        <f>IF(J2&lt;&gt;"",1,0)</f>
        <v>1</v>
      </c>
      <c r="J2" s="3" t="str">
        <f>CONCATENATE(B2,C2,D2,E2,)</f>
        <v xml:space="preserve">        public bool _Editar(Empresa _empresamatriz, string stringConnect)</v>
      </c>
    </row>
    <row r="3" spans="1:10" x14ac:dyDescent="0.25">
      <c r="B3" s="39" t="s">
        <v>69</v>
      </c>
      <c r="C3" s="39"/>
      <c r="I3" s="37">
        <f t="shared" ref="I3:I9" si="0">IF(J3&lt;&gt;"",1,0)</f>
        <v>1</v>
      </c>
      <c r="J3" s="3" t="str">
        <f t="shared" ref="J3:J5" si="1">CONCATENATE(B3,C3,D3,E3,)</f>
        <v xml:space="preserve">        {</v>
      </c>
    </row>
    <row r="4" spans="1:10" x14ac:dyDescent="0.25">
      <c r="B4" s="39" t="s">
        <v>79</v>
      </c>
      <c r="C4" s="39"/>
      <c r="I4" s="37">
        <f t="shared" si="0"/>
        <v>1</v>
      </c>
      <c r="J4" s="3" t="str">
        <f t="shared" si="1"/>
        <v xml:space="preserve">            try</v>
      </c>
    </row>
    <row r="5" spans="1:10" x14ac:dyDescent="0.25">
      <c r="B5" s="39" t="s">
        <v>11</v>
      </c>
      <c r="C5" s="39"/>
      <c r="I5" s="37">
        <f t="shared" si="0"/>
        <v>1</v>
      </c>
      <c r="J5" s="3" t="str">
        <f t="shared" si="1"/>
        <v xml:space="preserve">            {</v>
      </c>
    </row>
    <row r="6" spans="1:10" x14ac:dyDescent="0.25">
      <c r="B6" s="39"/>
      <c r="C6" s="39"/>
      <c r="I6" s="37">
        <f t="shared" si="0"/>
        <v>1</v>
      </c>
      <c r="J6" s="3" t="s">
        <v>84</v>
      </c>
    </row>
    <row r="7" spans="1:10" x14ac:dyDescent="0.25">
      <c r="B7" t="s">
        <v>142</v>
      </c>
      <c r="C7" t="str">
        <f>SUBSTITUTE(B7,"?ID?",INICIO!K10)</f>
        <v xml:space="preserve">                var sql = new MySqlCommand(" UPDATE ?TABELA? SET E_Id = @E_Id ?CAMPOS? WHERE E_Id = @E_Id ", conexao);</v>
      </c>
      <c r="D7" s="19" t="str">
        <f>CONCATENATE(D9,D10,D11,D12,D13,D14,D15,D16,D17,D18,D19,D20,D21,D22,D23,D24,D25,D26,D27,D28,D29,D30,D31,D32,D33,D34,D35,D36,D37,D38,D39,D40,D41,D42,D43,D44,D45,D46,D47,D48,D49,D50,D51,D52,D53,D54,D55,D56,D57,D58,D59,D60,D61,D62,D63,D64,D65,D66,D67,D68,D69,D70,D71,D72,D73,D74,D75,D76,D77,D78,D79,D80,D81,D82,D83,D84,D85,D86,D87,D88,D89,D90,D91,D92,D93,D94,D95,D96,D97,D98,D99,D100,D101,D102,D103,D104,D105,D106,D107)</f>
        <v>, E_RazaoSocial = @E_RazaoSocial, E_CNPJ = @E_CNPJ, E_IE = @E_IE, E_Endereco = @E_Endereco, E_Complemento = @E_Complemento, E_Estado = @E_Estado, E_Telefone = @E_Telefone, E_Email = @E_Email</v>
      </c>
      <c r="E7" s="19" t="str">
        <f>SUBSTITUTE(C7,"?CAMPOS?",D7)</f>
        <v xml:space="preserve">                var sql = new MySqlCommand(" UPDATE ?TABELA? SET E_Id = @E_Id , E_RazaoSocial = @E_RazaoSocial, E_CNPJ = @E_CNPJ, E_IE = @E_IE, E_Endereco = @E_Endereco, E_Complemento = @E_Complemento, E_Estado = @E_Estado, E_Telefone = @E_Telefone, E_Email = @E_Email WHERE E_Id = @E_Id ", conexao);</v>
      </c>
      <c r="I7" s="37">
        <f t="shared" si="0"/>
        <v>1</v>
      </c>
      <c r="J7" s="3" t="str">
        <f>SUBSTITUTE(E7,"?TABELA?",INICIO!D3)</f>
        <v xml:space="preserve">                var sql = new MySqlCommand(" UPDATE EmpresaMatriz SET E_Id = @E_Id , E_RazaoSocial = @E_RazaoSocial, E_CNPJ = @E_CNPJ, E_IE = @E_IE, E_Endereco = @E_Endereco, E_Complemento = @E_Complemento, E_Estado = @E_Estado, E_Telefone = @E_Telefone, E_Email = @E_Email WHERE E_Id = @E_Id ", conexao);</v>
      </c>
    </row>
    <row r="8" spans="1:10" x14ac:dyDescent="0.25">
      <c r="B8" s="7" t="s">
        <v>140</v>
      </c>
      <c r="C8" s="7" t="str">
        <f>SUBSTITUTE(B8,"?tabela?",D2)</f>
        <v xml:space="preserve">                sql.Parameters.AddWithValue("@???",  _empresamatriz.???);</v>
      </c>
      <c r="D8" s="6"/>
      <c r="I8" s="37">
        <f t="shared" si="0"/>
        <v>1</v>
      </c>
      <c r="J8" s="3" t="str">
        <f>IF(B9,SUBSTITUTE(C8,"???",INICIO!K$10),"")</f>
        <v xml:space="preserve">                sql.Parameters.AddWithValue("@E_Id",  _empresamatriz.E_Id);</v>
      </c>
    </row>
    <row r="9" spans="1:10" x14ac:dyDescent="0.25">
      <c r="A9" s="12">
        <v>2</v>
      </c>
      <c r="B9" s="12">
        <f>LOOKUP(A9,INICIO!A:A,INICIO!J:J)</f>
        <v>1</v>
      </c>
      <c r="C9" s="12" t="str">
        <f>LOOKUP(A9,INICIO!A:A,INICIO!K:K)</f>
        <v>E_RazaoSocial</v>
      </c>
      <c r="D9" s="105" t="str">
        <f>IF(B9,CONCATENATE(", ",C9," = ","@",C9),"")</f>
        <v>, E_RazaoSocial = @E_RazaoSocial</v>
      </c>
      <c r="I9" s="37">
        <f t="shared" si="0"/>
        <v>1</v>
      </c>
      <c r="J9" s="3" t="str">
        <f>IF(B9,SUBSTITUTE(C$8,"???",EDITAR!C9),"")</f>
        <v xml:space="preserve">                sql.Parameters.AddWithValue("@E_RazaoSocial",  _empresamatriz.E_RazaoSocial);</v>
      </c>
    </row>
    <row r="10" spans="1:10" x14ac:dyDescent="0.25">
      <c r="A10" s="12">
        <v>3</v>
      </c>
      <c r="B10" s="12">
        <f>LOOKUP(A10,INICIO!A:A,INICIO!J:J)</f>
        <v>1</v>
      </c>
      <c r="C10" s="12" t="str">
        <f>LOOKUP(A10,INICIO!A:A,INICIO!K:K)</f>
        <v>E_CNPJ</v>
      </c>
      <c r="D10" s="105" t="str">
        <f>IF(B10,CONCATENATE(", ",C10," = ","@",C10),"")</f>
        <v>, E_CNPJ = @E_CNPJ</v>
      </c>
      <c r="I10" s="37">
        <f t="shared" ref="I10" si="2">IF(J10&lt;&gt;"",1,0)</f>
        <v>1</v>
      </c>
      <c r="J10" s="3" t="str">
        <f>IF(B10,SUBSTITUTE(C$8,"???",EDITAR!C10),"")</f>
        <v xml:space="preserve">                sql.Parameters.AddWithValue("@E_CNPJ",  _empresamatriz.E_CNPJ);</v>
      </c>
    </row>
    <row r="11" spans="1:10" x14ac:dyDescent="0.25">
      <c r="A11" s="12">
        <v>4</v>
      </c>
      <c r="B11" s="12">
        <f>LOOKUP(A11,INICIO!A:A,INICIO!J:J)</f>
        <v>1</v>
      </c>
      <c r="C11" s="12" t="str">
        <f>LOOKUP(A11,INICIO!A:A,INICIO!K:K)</f>
        <v>E_IE</v>
      </c>
      <c r="D11" s="105" t="str">
        <f t="shared" ref="D11:D74" si="3">IF(B11,CONCATENATE(", ",C11," = ","@",C11),"")</f>
        <v>, E_IE = @E_IE</v>
      </c>
      <c r="I11" s="37">
        <f t="shared" ref="I11:I74" si="4">IF(J11&lt;&gt;"",1,0)</f>
        <v>1</v>
      </c>
      <c r="J11" s="3" t="str">
        <f>IF(B11,SUBSTITUTE(C$8,"???",EDITAR!C11),"")</f>
        <v xml:space="preserve">                sql.Parameters.AddWithValue("@E_IE",  _empresamatriz.E_IE);</v>
      </c>
    </row>
    <row r="12" spans="1:10" x14ac:dyDescent="0.25">
      <c r="A12" s="12">
        <v>5</v>
      </c>
      <c r="B12" s="12">
        <f>LOOKUP(A12,INICIO!A:A,INICIO!J:J)</f>
        <v>1</v>
      </c>
      <c r="C12" s="12" t="str">
        <f>LOOKUP(A12,INICIO!A:A,INICIO!K:K)</f>
        <v>E_Endereco</v>
      </c>
      <c r="D12" s="105" t="str">
        <f t="shared" si="3"/>
        <v>, E_Endereco = @E_Endereco</v>
      </c>
      <c r="I12" s="37">
        <f t="shared" si="4"/>
        <v>1</v>
      </c>
      <c r="J12" s="3" t="str">
        <f>IF(B12,SUBSTITUTE(C$8,"???",EDITAR!C12),"")</f>
        <v xml:space="preserve">                sql.Parameters.AddWithValue("@E_Endereco",  _empresamatriz.E_Endereco);</v>
      </c>
    </row>
    <row r="13" spans="1:10" x14ac:dyDescent="0.25">
      <c r="A13" s="12">
        <v>6</v>
      </c>
      <c r="B13" s="12">
        <f>LOOKUP(A13,INICIO!A:A,INICIO!J:J)</f>
        <v>1</v>
      </c>
      <c r="C13" s="12" t="str">
        <f>LOOKUP(A13,INICIO!A:A,INICIO!K:K)</f>
        <v>E_Complemento</v>
      </c>
      <c r="D13" s="105" t="str">
        <f t="shared" si="3"/>
        <v>, E_Complemento = @E_Complemento</v>
      </c>
      <c r="I13" s="37">
        <f t="shared" si="4"/>
        <v>1</v>
      </c>
      <c r="J13" s="3" t="str">
        <f>IF(B13,SUBSTITUTE(C$8,"???",EDITAR!C13),"")</f>
        <v xml:space="preserve">                sql.Parameters.AddWithValue("@E_Complemento",  _empresamatriz.E_Complemento);</v>
      </c>
    </row>
    <row r="14" spans="1:10" x14ac:dyDescent="0.25">
      <c r="A14" s="12">
        <v>7</v>
      </c>
      <c r="B14" s="12">
        <f>LOOKUP(A14,INICIO!A:A,INICIO!J:J)</f>
        <v>1</v>
      </c>
      <c r="C14" s="12" t="str">
        <f>LOOKUP(A14,INICIO!A:A,INICIO!K:K)</f>
        <v>E_Estado</v>
      </c>
      <c r="D14" s="105" t="str">
        <f t="shared" si="3"/>
        <v>, E_Estado = @E_Estado</v>
      </c>
      <c r="I14" s="37">
        <f t="shared" si="4"/>
        <v>1</v>
      </c>
      <c r="J14" s="3" t="str">
        <f>IF(B14,SUBSTITUTE(C$8,"???",EDITAR!C14),"")</f>
        <v xml:space="preserve">                sql.Parameters.AddWithValue("@E_Estado",  _empresamatriz.E_Estado);</v>
      </c>
    </row>
    <row r="15" spans="1:10" x14ac:dyDescent="0.25">
      <c r="A15" s="12">
        <v>8</v>
      </c>
      <c r="B15" s="12">
        <f>LOOKUP(A15,INICIO!A:A,INICIO!J:J)</f>
        <v>1</v>
      </c>
      <c r="C15" s="12" t="str">
        <f>LOOKUP(A15,INICIO!A:A,INICIO!K:K)</f>
        <v>E_Telefone</v>
      </c>
      <c r="D15" s="105" t="str">
        <f t="shared" si="3"/>
        <v>, E_Telefone = @E_Telefone</v>
      </c>
      <c r="I15" s="37">
        <f t="shared" si="4"/>
        <v>1</v>
      </c>
      <c r="J15" s="3" t="str">
        <f>IF(B15,SUBSTITUTE(C$8,"???",EDITAR!C15),"")</f>
        <v xml:space="preserve">                sql.Parameters.AddWithValue("@E_Telefone",  _empresamatriz.E_Telefone);</v>
      </c>
    </row>
    <row r="16" spans="1:10" x14ac:dyDescent="0.25">
      <c r="A16" s="12">
        <v>9</v>
      </c>
      <c r="B16" s="12">
        <f>LOOKUP(A16,INICIO!A:A,INICIO!J:J)</f>
        <v>1</v>
      </c>
      <c r="C16" s="12" t="str">
        <f>LOOKUP(A16,INICIO!A:A,INICIO!K:K)</f>
        <v>E_Email</v>
      </c>
      <c r="D16" s="105" t="str">
        <f t="shared" si="3"/>
        <v>, E_Email = @E_Email</v>
      </c>
      <c r="I16" s="37">
        <f t="shared" si="4"/>
        <v>1</v>
      </c>
      <c r="J16" s="3" t="str">
        <f>IF(B16,SUBSTITUTE(C$8,"???",EDITAR!C16),"")</f>
        <v xml:space="preserve">                sql.Parameters.AddWithValue("@E_Email",  _empresamatriz.E_Email);</v>
      </c>
    </row>
    <row r="17" spans="1:10" hidden="1" x14ac:dyDescent="0.25">
      <c r="A17" s="12">
        <v>10</v>
      </c>
      <c r="B17" s="12">
        <f>LOOKUP(A17,INICIO!A:A,INICIO!J:J)</f>
        <v>0</v>
      </c>
      <c r="C17" s="12" t="str">
        <f>LOOKUP(A17,INICIO!A:A,INICIO!K:K)</f>
        <v/>
      </c>
      <c r="D17" s="105" t="str">
        <f t="shared" si="3"/>
        <v/>
      </c>
      <c r="I17" s="37">
        <f t="shared" si="4"/>
        <v>0</v>
      </c>
      <c r="J17" s="3" t="str">
        <f>IF(B17,SUBSTITUTE(C$8,"???",EDITAR!C17),"")</f>
        <v/>
      </c>
    </row>
    <row r="18" spans="1:10" hidden="1" x14ac:dyDescent="0.25">
      <c r="A18" s="12">
        <v>11</v>
      </c>
      <c r="B18" s="12">
        <f>LOOKUP(A18,INICIO!A:A,INICIO!J:J)</f>
        <v>0</v>
      </c>
      <c r="C18" s="12" t="str">
        <f>LOOKUP(A18,INICIO!A:A,INICIO!K:K)</f>
        <v/>
      </c>
      <c r="D18" s="105" t="str">
        <f t="shared" si="3"/>
        <v/>
      </c>
      <c r="I18" s="37">
        <f t="shared" si="4"/>
        <v>0</v>
      </c>
      <c r="J18" s="3" t="str">
        <f>IF(B18,SUBSTITUTE(C$8,"???",EDITAR!C18),"")</f>
        <v/>
      </c>
    </row>
    <row r="19" spans="1:10" hidden="1" x14ac:dyDescent="0.25">
      <c r="A19" s="12">
        <v>12</v>
      </c>
      <c r="B19" s="12">
        <f>LOOKUP(A19,INICIO!A:A,INICIO!J:J)</f>
        <v>0</v>
      </c>
      <c r="C19" s="12" t="str">
        <f>LOOKUP(A19,INICIO!A:A,INICIO!K:K)</f>
        <v/>
      </c>
      <c r="D19" s="105" t="str">
        <f t="shared" si="3"/>
        <v/>
      </c>
      <c r="I19" s="37">
        <f t="shared" si="4"/>
        <v>0</v>
      </c>
      <c r="J19" s="3" t="str">
        <f>IF(B19,SUBSTITUTE(C$8,"???",EDITAR!C19),"")</f>
        <v/>
      </c>
    </row>
    <row r="20" spans="1:10" hidden="1" x14ac:dyDescent="0.25">
      <c r="A20" s="12">
        <v>13</v>
      </c>
      <c r="B20" s="12">
        <f>LOOKUP(A20,INICIO!A:A,INICIO!J:J)</f>
        <v>0</v>
      </c>
      <c r="C20" s="12" t="str">
        <f>LOOKUP(A20,INICIO!A:A,INICIO!K:K)</f>
        <v/>
      </c>
      <c r="D20" s="105" t="str">
        <f t="shared" si="3"/>
        <v/>
      </c>
      <c r="I20" s="37">
        <f t="shared" si="4"/>
        <v>0</v>
      </c>
      <c r="J20" s="3" t="str">
        <f>IF(B20,SUBSTITUTE(C$8,"???",EDITAR!C20),"")</f>
        <v/>
      </c>
    </row>
    <row r="21" spans="1:10" hidden="1" x14ac:dyDescent="0.25">
      <c r="A21" s="12">
        <v>14</v>
      </c>
      <c r="B21" s="12">
        <f>LOOKUP(A21,INICIO!A:A,INICIO!J:J)</f>
        <v>0</v>
      </c>
      <c r="C21" s="12" t="str">
        <f>LOOKUP(A21,INICIO!A:A,INICIO!K:K)</f>
        <v/>
      </c>
      <c r="D21" s="105" t="str">
        <f t="shared" si="3"/>
        <v/>
      </c>
      <c r="I21" s="37">
        <f t="shared" si="4"/>
        <v>0</v>
      </c>
      <c r="J21" s="3" t="str">
        <f>IF(B21,SUBSTITUTE(C$8,"???",EDITAR!C21),"")</f>
        <v/>
      </c>
    </row>
    <row r="22" spans="1:10" hidden="1" x14ac:dyDescent="0.25">
      <c r="A22" s="12">
        <v>15</v>
      </c>
      <c r="B22" s="12">
        <f>LOOKUP(A22,INICIO!A:A,INICIO!J:J)</f>
        <v>0</v>
      </c>
      <c r="C22" s="12" t="str">
        <f>LOOKUP(A22,INICIO!A:A,INICIO!K:K)</f>
        <v/>
      </c>
      <c r="D22" s="105" t="str">
        <f t="shared" si="3"/>
        <v/>
      </c>
      <c r="I22" s="37">
        <f t="shared" si="4"/>
        <v>0</v>
      </c>
      <c r="J22" s="3" t="str">
        <f>IF(B22,SUBSTITUTE(C$8,"???",EDITAR!C22),"")</f>
        <v/>
      </c>
    </row>
    <row r="23" spans="1:10" hidden="1" x14ac:dyDescent="0.25">
      <c r="A23" s="12">
        <v>16</v>
      </c>
      <c r="B23" s="12">
        <f>LOOKUP(A23,INICIO!A:A,INICIO!J:J)</f>
        <v>0</v>
      </c>
      <c r="C23" s="12" t="str">
        <f>LOOKUP(A23,INICIO!A:A,INICIO!K:K)</f>
        <v/>
      </c>
      <c r="D23" s="105" t="str">
        <f t="shared" si="3"/>
        <v/>
      </c>
      <c r="I23" s="37">
        <f t="shared" si="4"/>
        <v>0</v>
      </c>
      <c r="J23" s="3" t="str">
        <f>IF(B23,SUBSTITUTE(C$8,"???",EDITAR!C23),"")</f>
        <v/>
      </c>
    </row>
    <row r="24" spans="1:10" hidden="1" x14ac:dyDescent="0.25">
      <c r="A24" s="12">
        <v>17</v>
      </c>
      <c r="B24" s="12">
        <f>LOOKUP(A24,INICIO!A:A,INICIO!J:J)</f>
        <v>0</v>
      </c>
      <c r="C24" s="12" t="str">
        <f>LOOKUP(A24,INICIO!A:A,INICIO!K:K)</f>
        <v/>
      </c>
      <c r="D24" s="105" t="str">
        <f t="shared" si="3"/>
        <v/>
      </c>
      <c r="I24" s="37">
        <f t="shared" si="4"/>
        <v>0</v>
      </c>
      <c r="J24" s="3" t="str">
        <f>IF(B24,SUBSTITUTE(C$8,"???",EDITAR!C24),"")</f>
        <v/>
      </c>
    </row>
    <row r="25" spans="1:10" hidden="1" x14ac:dyDescent="0.25">
      <c r="A25" s="12">
        <v>18</v>
      </c>
      <c r="B25" s="12">
        <f>LOOKUP(A25,INICIO!A:A,INICIO!J:J)</f>
        <v>0</v>
      </c>
      <c r="C25" s="12" t="str">
        <f>LOOKUP(A25,INICIO!A:A,INICIO!K:K)</f>
        <v/>
      </c>
      <c r="D25" s="105" t="str">
        <f t="shared" si="3"/>
        <v/>
      </c>
      <c r="I25" s="37">
        <f t="shared" si="4"/>
        <v>0</v>
      </c>
      <c r="J25" s="3" t="str">
        <f>IF(B25,SUBSTITUTE(C$8,"???",EDITAR!C25),"")</f>
        <v/>
      </c>
    </row>
    <row r="26" spans="1:10" hidden="1" x14ac:dyDescent="0.25">
      <c r="A26" s="12">
        <v>19</v>
      </c>
      <c r="B26" s="12">
        <f>LOOKUP(A26,INICIO!A:A,INICIO!J:J)</f>
        <v>0</v>
      </c>
      <c r="C26" s="12" t="str">
        <f>LOOKUP(A26,INICIO!A:A,INICIO!K:K)</f>
        <v/>
      </c>
      <c r="D26" s="105" t="str">
        <f t="shared" si="3"/>
        <v/>
      </c>
      <c r="I26" s="37">
        <f t="shared" si="4"/>
        <v>0</v>
      </c>
      <c r="J26" s="3" t="str">
        <f>IF(B26,SUBSTITUTE(C$8,"???",EDITAR!C26),"")</f>
        <v/>
      </c>
    </row>
    <row r="27" spans="1:10" hidden="1" x14ac:dyDescent="0.25">
      <c r="A27" s="12">
        <v>20</v>
      </c>
      <c r="B27" s="12">
        <f>LOOKUP(A27,INICIO!A:A,INICIO!J:J)</f>
        <v>0</v>
      </c>
      <c r="C27" s="12" t="str">
        <f>LOOKUP(A27,INICIO!A:A,INICIO!K:K)</f>
        <v/>
      </c>
      <c r="D27" s="105" t="str">
        <f t="shared" si="3"/>
        <v/>
      </c>
      <c r="I27" s="37">
        <f t="shared" si="4"/>
        <v>0</v>
      </c>
      <c r="J27" s="3" t="str">
        <f>IF(B27,SUBSTITUTE(C$8,"???",EDITAR!C27),"")</f>
        <v/>
      </c>
    </row>
    <row r="28" spans="1:10" hidden="1" x14ac:dyDescent="0.25">
      <c r="A28" s="12">
        <v>21</v>
      </c>
      <c r="B28" s="12">
        <f>LOOKUP(A28,INICIO!A:A,INICIO!J:J)</f>
        <v>0</v>
      </c>
      <c r="C28" s="12" t="str">
        <f>LOOKUP(A28,INICIO!A:A,INICIO!K:K)</f>
        <v/>
      </c>
      <c r="D28" s="105" t="str">
        <f t="shared" si="3"/>
        <v/>
      </c>
      <c r="I28" s="37">
        <f t="shared" si="4"/>
        <v>0</v>
      </c>
      <c r="J28" s="3" t="str">
        <f>IF(B28,SUBSTITUTE(C$8,"???",EDITAR!C28),"")</f>
        <v/>
      </c>
    </row>
    <row r="29" spans="1:10" hidden="1" x14ac:dyDescent="0.25">
      <c r="A29" s="12">
        <v>22</v>
      </c>
      <c r="B29" s="12">
        <f>LOOKUP(A29,INICIO!A:A,INICIO!J:J)</f>
        <v>0</v>
      </c>
      <c r="C29" s="12" t="str">
        <f>LOOKUP(A29,INICIO!A:A,INICIO!K:K)</f>
        <v/>
      </c>
      <c r="D29" s="105" t="str">
        <f t="shared" si="3"/>
        <v/>
      </c>
      <c r="I29" s="37">
        <f t="shared" si="4"/>
        <v>0</v>
      </c>
      <c r="J29" s="3" t="str">
        <f>IF(B29,SUBSTITUTE(C$8,"???",EDITAR!C29),"")</f>
        <v/>
      </c>
    </row>
    <row r="30" spans="1:10" hidden="1" x14ac:dyDescent="0.25">
      <c r="A30" s="12">
        <v>23</v>
      </c>
      <c r="B30" s="12">
        <f>LOOKUP(A30,INICIO!A:A,INICIO!J:J)</f>
        <v>0</v>
      </c>
      <c r="C30" s="12" t="str">
        <f>LOOKUP(A30,INICIO!A:A,INICIO!K:K)</f>
        <v/>
      </c>
      <c r="D30" s="105" t="str">
        <f t="shared" si="3"/>
        <v/>
      </c>
      <c r="I30" s="37">
        <f t="shared" si="4"/>
        <v>0</v>
      </c>
      <c r="J30" s="3" t="str">
        <f>IF(B30,SUBSTITUTE(C$8,"???",EDITAR!C30),"")</f>
        <v/>
      </c>
    </row>
    <row r="31" spans="1:10" hidden="1" x14ac:dyDescent="0.25">
      <c r="A31" s="12">
        <v>24</v>
      </c>
      <c r="B31" s="12">
        <f>LOOKUP(A31,INICIO!A:A,INICIO!J:J)</f>
        <v>0</v>
      </c>
      <c r="C31" s="12" t="str">
        <f>LOOKUP(A31,INICIO!A:A,INICIO!K:K)</f>
        <v/>
      </c>
      <c r="D31" s="105" t="str">
        <f t="shared" si="3"/>
        <v/>
      </c>
      <c r="I31" s="37">
        <f t="shared" si="4"/>
        <v>0</v>
      </c>
      <c r="J31" s="3" t="str">
        <f>IF(B31,SUBSTITUTE(C$8,"???",EDITAR!C31),"")</f>
        <v/>
      </c>
    </row>
    <row r="32" spans="1:10" hidden="1" x14ac:dyDescent="0.25">
      <c r="A32" s="12">
        <v>25</v>
      </c>
      <c r="B32" s="12">
        <f>LOOKUP(A32,INICIO!A:A,INICIO!J:J)</f>
        <v>0</v>
      </c>
      <c r="C32" s="12" t="str">
        <f>LOOKUP(A32,INICIO!A:A,INICIO!K:K)</f>
        <v/>
      </c>
      <c r="D32" s="105" t="str">
        <f t="shared" si="3"/>
        <v/>
      </c>
      <c r="I32" s="37">
        <f t="shared" si="4"/>
        <v>0</v>
      </c>
      <c r="J32" s="3" t="str">
        <f>IF(B32,SUBSTITUTE(C$8,"???",EDITAR!C32),"")</f>
        <v/>
      </c>
    </row>
    <row r="33" spans="1:10" hidden="1" x14ac:dyDescent="0.25">
      <c r="A33" s="12">
        <v>26</v>
      </c>
      <c r="B33" s="12">
        <f>LOOKUP(A33,INICIO!A:A,INICIO!J:J)</f>
        <v>0</v>
      </c>
      <c r="C33" s="12" t="str">
        <f>LOOKUP(A33,INICIO!A:A,INICIO!K:K)</f>
        <v/>
      </c>
      <c r="D33" s="105" t="str">
        <f t="shared" si="3"/>
        <v/>
      </c>
      <c r="I33" s="37">
        <f t="shared" si="4"/>
        <v>0</v>
      </c>
      <c r="J33" s="3" t="str">
        <f>IF(B33,SUBSTITUTE(C$8,"???",EDITAR!C33),"")</f>
        <v/>
      </c>
    </row>
    <row r="34" spans="1:10" hidden="1" x14ac:dyDescent="0.25">
      <c r="A34" s="12">
        <v>27</v>
      </c>
      <c r="B34" s="12">
        <f>LOOKUP(A34,INICIO!A:A,INICIO!J:J)</f>
        <v>0</v>
      </c>
      <c r="C34" s="12" t="str">
        <f>LOOKUP(A34,INICIO!A:A,INICIO!K:K)</f>
        <v/>
      </c>
      <c r="D34" s="105" t="str">
        <f t="shared" si="3"/>
        <v/>
      </c>
      <c r="I34" s="37">
        <f t="shared" si="4"/>
        <v>0</v>
      </c>
      <c r="J34" s="3" t="str">
        <f>IF(B34,SUBSTITUTE(C$8,"???",EDITAR!C34),"")</f>
        <v/>
      </c>
    </row>
    <row r="35" spans="1:10" hidden="1" x14ac:dyDescent="0.25">
      <c r="A35" s="12">
        <v>28</v>
      </c>
      <c r="B35" s="12">
        <f>LOOKUP(A35,INICIO!A:A,INICIO!J:J)</f>
        <v>0</v>
      </c>
      <c r="C35" s="12" t="str">
        <f>LOOKUP(A35,INICIO!A:A,INICIO!K:K)</f>
        <v/>
      </c>
      <c r="D35" s="105" t="str">
        <f t="shared" si="3"/>
        <v/>
      </c>
      <c r="I35" s="37">
        <f t="shared" si="4"/>
        <v>0</v>
      </c>
      <c r="J35" s="3" t="str">
        <f>IF(B35,SUBSTITUTE(C$8,"???",EDITAR!C35),"")</f>
        <v/>
      </c>
    </row>
    <row r="36" spans="1:10" hidden="1" x14ac:dyDescent="0.25">
      <c r="A36" s="12">
        <v>29</v>
      </c>
      <c r="B36" s="12">
        <f>LOOKUP(A36,INICIO!A:A,INICIO!J:J)</f>
        <v>0</v>
      </c>
      <c r="C36" s="12" t="str">
        <f>LOOKUP(A36,INICIO!A:A,INICIO!K:K)</f>
        <v/>
      </c>
      <c r="D36" s="105" t="str">
        <f t="shared" si="3"/>
        <v/>
      </c>
      <c r="I36" s="37">
        <f t="shared" si="4"/>
        <v>0</v>
      </c>
      <c r="J36" s="3" t="str">
        <f>IF(B36,SUBSTITUTE(C$8,"???",EDITAR!C36),"")</f>
        <v/>
      </c>
    </row>
    <row r="37" spans="1:10" hidden="1" x14ac:dyDescent="0.25">
      <c r="A37" s="12">
        <v>30</v>
      </c>
      <c r="B37" s="12">
        <f>LOOKUP(A37,INICIO!A:A,INICIO!J:J)</f>
        <v>0</v>
      </c>
      <c r="C37" s="12" t="str">
        <f>LOOKUP(A37,INICIO!A:A,INICIO!K:K)</f>
        <v/>
      </c>
      <c r="D37" s="105" t="str">
        <f t="shared" si="3"/>
        <v/>
      </c>
      <c r="I37" s="37">
        <f t="shared" si="4"/>
        <v>0</v>
      </c>
      <c r="J37" s="3" t="str">
        <f>IF(B37,SUBSTITUTE(C$8,"???",EDITAR!C37),"")</f>
        <v/>
      </c>
    </row>
    <row r="38" spans="1:10" hidden="1" x14ac:dyDescent="0.25">
      <c r="A38" s="12">
        <v>31</v>
      </c>
      <c r="B38" s="12">
        <f>LOOKUP(A38,INICIO!A:A,INICIO!J:J)</f>
        <v>0</v>
      </c>
      <c r="C38" s="12" t="str">
        <f>LOOKUP(A38,INICIO!A:A,INICIO!K:K)</f>
        <v/>
      </c>
      <c r="D38" s="105" t="str">
        <f t="shared" si="3"/>
        <v/>
      </c>
      <c r="I38" s="37">
        <f t="shared" si="4"/>
        <v>0</v>
      </c>
      <c r="J38" s="3" t="str">
        <f>IF(B38,SUBSTITUTE(C$8,"???",EDITAR!C38),"")</f>
        <v/>
      </c>
    </row>
    <row r="39" spans="1:10" hidden="1" x14ac:dyDescent="0.25">
      <c r="A39" s="12">
        <v>32</v>
      </c>
      <c r="B39" s="12">
        <f>LOOKUP(A39,INICIO!A:A,INICIO!J:J)</f>
        <v>0</v>
      </c>
      <c r="C39" s="12" t="str">
        <f>LOOKUP(A39,INICIO!A:A,INICIO!K:K)</f>
        <v/>
      </c>
      <c r="D39" s="105" t="str">
        <f t="shared" si="3"/>
        <v/>
      </c>
      <c r="I39" s="37">
        <f t="shared" si="4"/>
        <v>0</v>
      </c>
      <c r="J39" s="3" t="str">
        <f>IF(B39,SUBSTITUTE(C$8,"???",EDITAR!C39),"")</f>
        <v/>
      </c>
    </row>
    <row r="40" spans="1:10" hidden="1" x14ac:dyDescent="0.25">
      <c r="A40" s="12">
        <v>33</v>
      </c>
      <c r="B40" s="12">
        <f>LOOKUP(A40,INICIO!A:A,INICIO!J:J)</f>
        <v>0</v>
      </c>
      <c r="C40" s="12" t="str">
        <f>LOOKUP(A40,INICIO!A:A,INICIO!K:K)</f>
        <v/>
      </c>
      <c r="D40" s="105" t="str">
        <f t="shared" si="3"/>
        <v/>
      </c>
      <c r="I40" s="37">
        <f t="shared" si="4"/>
        <v>0</v>
      </c>
      <c r="J40" s="3" t="str">
        <f>IF(B40,SUBSTITUTE(C$8,"???",EDITAR!C40),"")</f>
        <v/>
      </c>
    </row>
    <row r="41" spans="1:10" hidden="1" x14ac:dyDescent="0.25">
      <c r="A41" s="12">
        <v>34</v>
      </c>
      <c r="B41" s="12">
        <f>LOOKUP(A41,INICIO!A:A,INICIO!J:J)</f>
        <v>0</v>
      </c>
      <c r="C41" s="12" t="str">
        <f>LOOKUP(A41,INICIO!A:A,INICIO!K:K)</f>
        <v/>
      </c>
      <c r="D41" s="105" t="str">
        <f t="shared" si="3"/>
        <v/>
      </c>
      <c r="I41" s="37">
        <f t="shared" si="4"/>
        <v>0</v>
      </c>
      <c r="J41" s="3" t="str">
        <f>IF(B41,SUBSTITUTE(C$8,"???",EDITAR!C41),"")</f>
        <v/>
      </c>
    </row>
    <row r="42" spans="1:10" hidden="1" x14ac:dyDescent="0.25">
      <c r="A42" s="12">
        <v>35</v>
      </c>
      <c r="B42" s="12">
        <f>LOOKUP(A42,INICIO!A:A,INICIO!J:J)</f>
        <v>0</v>
      </c>
      <c r="C42" s="12" t="str">
        <f>LOOKUP(A42,INICIO!A:A,INICIO!K:K)</f>
        <v/>
      </c>
      <c r="D42" s="105" t="str">
        <f t="shared" si="3"/>
        <v/>
      </c>
      <c r="I42" s="37">
        <f t="shared" si="4"/>
        <v>0</v>
      </c>
      <c r="J42" s="3" t="str">
        <f>IF(B42,SUBSTITUTE(C$8,"???",EDITAR!C42),"")</f>
        <v/>
      </c>
    </row>
    <row r="43" spans="1:10" hidden="1" x14ac:dyDescent="0.25">
      <c r="A43" s="12">
        <v>36</v>
      </c>
      <c r="B43" s="12">
        <f>LOOKUP(A43,INICIO!A:A,INICIO!J:J)</f>
        <v>0</v>
      </c>
      <c r="C43" s="12" t="str">
        <f>LOOKUP(A43,INICIO!A:A,INICIO!K:K)</f>
        <v/>
      </c>
      <c r="D43" s="105" t="str">
        <f t="shared" si="3"/>
        <v/>
      </c>
      <c r="I43" s="37">
        <f t="shared" si="4"/>
        <v>0</v>
      </c>
      <c r="J43" s="3" t="str">
        <f>IF(B43,SUBSTITUTE(C$8,"???",EDITAR!C43),"")</f>
        <v/>
      </c>
    </row>
    <row r="44" spans="1:10" hidden="1" x14ac:dyDescent="0.25">
      <c r="A44" s="12">
        <v>37</v>
      </c>
      <c r="B44" s="12">
        <f>LOOKUP(A44,INICIO!A:A,INICIO!J:J)</f>
        <v>0</v>
      </c>
      <c r="C44" s="12" t="str">
        <f>LOOKUP(A44,INICIO!A:A,INICIO!K:K)</f>
        <v/>
      </c>
      <c r="D44" s="105" t="str">
        <f t="shared" si="3"/>
        <v/>
      </c>
      <c r="I44" s="37">
        <f t="shared" si="4"/>
        <v>0</v>
      </c>
      <c r="J44" s="3" t="str">
        <f>IF(B44,SUBSTITUTE(C$8,"???",EDITAR!C44),"")</f>
        <v/>
      </c>
    </row>
    <row r="45" spans="1:10" hidden="1" x14ac:dyDescent="0.25">
      <c r="A45" s="12">
        <v>38</v>
      </c>
      <c r="B45" s="12">
        <f>LOOKUP(A45,INICIO!A:A,INICIO!J:J)</f>
        <v>0</v>
      </c>
      <c r="C45" s="12" t="str">
        <f>LOOKUP(A45,INICIO!A:A,INICIO!K:K)</f>
        <v/>
      </c>
      <c r="D45" s="105" t="str">
        <f t="shared" si="3"/>
        <v/>
      </c>
      <c r="I45" s="37">
        <f t="shared" si="4"/>
        <v>0</v>
      </c>
      <c r="J45" s="3" t="str">
        <f>IF(B45,SUBSTITUTE(C$8,"???",EDITAR!C45),"")</f>
        <v/>
      </c>
    </row>
    <row r="46" spans="1:10" hidden="1" x14ac:dyDescent="0.25">
      <c r="A46" s="12">
        <v>39</v>
      </c>
      <c r="B46" s="12">
        <f>LOOKUP(A46,INICIO!A:A,INICIO!J:J)</f>
        <v>0</v>
      </c>
      <c r="C46" s="12" t="str">
        <f>LOOKUP(A46,INICIO!A:A,INICIO!K:K)</f>
        <v/>
      </c>
      <c r="D46" s="105" t="str">
        <f t="shared" si="3"/>
        <v/>
      </c>
      <c r="I46" s="37">
        <f t="shared" si="4"/>
        <v>0</v>
      </c>
      <c r="J46" s="3" t="str">
        <f>IF(B46,SUBSTITUTE(C$8,"???",EDITAR!C46),"")</f>
        <v/>
      </c>
    </row>
    <row r="47" spans="1:10" hidden="1" x14ac:dyDescent="0.25">
      <c r="A47" s="12">
        <v>40</v>
      </c>
      <c r="B47" s="12">
        <f>LOOKUP(A47,INICIO!A:A,INICIO!J:J)</f>
        <v>0</v>
      </c>
      <c r="C47" s="12" t="str">
        <f>LOOKUP(A47,INICIO!A:A,INICIO!K:K)</f>
        <v/>
      </c>
      <c r="D47" s="105" t="str">
        <f t="shared" si="3"/>
        <v/>
      </c>
      <c r="I47" s="37">
        <f t="shared" si="4"/>
        <v>0</v>
      </c>
      <c r="J47" s="3" t="str">
        <f>IF(B47,SUBSTITUTE(C$8,"???",EDITAR!C47),"")</f>
        <v/>
      </c>
    </row>
    <row r="48" spans="1:10" hidden="1" x14ac:dyDescent="0.25">
      <c r="A48" s="12">
        <v>41</v>
      </c>
      <c r="B48" s="12">
        <f>LOOKUP(A48,INICIO!A:A,INICIO!J:J)</f>
        <v>0</v>
      </c>
      <c r="C48" s="12" t="str">
        <f>LOOKUP(A48,INICIO!A:A,INICIO!K:K)</f>
        <v/>
      </c>
      <c r="D48" s="105" t="str">
        <f t="shared" si="3"/>
        <v/>
      </c>
      <c r="I48" s="37">
        <f t="shared" si="4"/>
        <v>0</v>
      </c>
      <c r="J48" s="3" t="str">
        <f>IF(B48,SUBSTITUTE(C$8,"???",EDITAR!C48),"")</f>
        <v/>
      </c>
    </row>
    <row r="49" spans="1:10" hidden="1" x14ac:dyDescent="0.25">
      <c r="A49" s="12">
        <v>42</v>
      </c>
      <c r="B49" s="12">
        <f>LOOKUP(A49,INICIO!A:A,INICIO!J:J)</f>
        <v>0</v>
      </c>
      <c r="C49" s="12" t="str">
        <f>LOOKUP(A49,INICIO!A:A,INICIO!K:K)</f>
        <v/>
      </c>
      <c r="D49" s="105" t="str">
        <f t="shared" si="3"/>
        <v/>
      </c>
      <c r="I49" s="37">
        <f t="shared" si="4"/>
        <v>0</v>
      </c>
      <c r="J49" s="3" t="str">
        <f>IF(B49,SUBSTITUTE(C$8,"???",EDITAR!C49),"")</f>
        <v/>
      </c>
    </row>
    <row r="50" spans="1:10" hidden="1" x14ac:dyDescent="0.25">
      <c r="A50" s="12">
        <v>43</v>
      </c>
      <c r="B50" s="12">
        <f>LOOKUP(A50,INICIO!A:A,INICIO!J:J)</f>
        <v>0</v>
      </c>
      <c r="C50" s="12" t="str">
        <f>LOOKUP(A50,INICIO!A:A,INICIO!K:K)</f>
        <v/>
      </c>
      <c r="D50" s="105" t="str">
        <f t="shared" si="3"/>
        <v/>
      </c>
      <c r="I50" s="37">
        <f t="shared" si="4"/>
        <v>0</v>
      </c>
      <c r="J50" s="3" t="str">
        <f>IF(B50,SUBSTITUTE(C$8,"???",EDITAR!C50),"")</f>
        <v/>
      </c>
    </row>
    <row r="51" spans="1:10" hidden="1" x14ac:dyDescent="0.25">
      <c r="A51" s="12">
        <v>44</v>
      </c>
      <c r="B51" s="12">
        <f>LOOKUP(A51,INICIO!A:A,INICIO!J:J)</f>
        <v>0</v>
      </c>
      <c r="C51" s="12" t="str">
        <f>LOOKUP(A51,INICIO!A:A,INICIO!K:K)</f>
        <v/>
      </c>
      <c r="D51" s="105" t="str">
        <f t="shared" si="3"/>
        <v/>
      </c>
      <c r="I51" s="37">
        <f t="shared" si="4"/>
        <v>0</v>
      </c>
      <c r="J51" s="3" t="str">
        <f>IF(B51,SUBSTITUTE(C$8,"???",EDITAR!C51),"")</f>
        <v/>
      </c>
    </row>
    <row r="52" spans="1:10" hidden="1" x14ac:dyDescent="0.25">
      <c r="A52" s="12">
        <v>45</v>
      </c>
      <c r="B52" s="12">
        <f>LOOKUP(A52,INICIO!A:A,INICIO!J:J)</f>
        <v>0</v>
      </c>
      <c r="C52" s="12" t="str">
        <f>LOOKUP(A52,INICIO!A:A,INICIO!K:K)</f>
        <v/>
      </c>
      <c r="D52" s="105" t="str">
        <f t="shared" si="3"/>
        <v/>
      </c>
      <c r="I52" s="37">
        <f t="shared" si="4"/>
        <v>0</v>
      </c>
      <c r="J52" s="3" t="str">
        <f>IF(B52,SUBSTITUTE(C$8,"???",EDITAR!C52),"")</f>
        <v/>
      </c>
    </row>
    <row r="53" spans="1:10" hidden="1" x14ac:dyDescent="0.25">
      <c r="A53" s="12">
        <v>46</v>
      </c>
      <c r="B53" s="12">
        <f>LOOKUP(A53,INICIO!A:A,INICIO!J:J)</f>
        <v>0</v>
      </c>
      <c r="C53" s="12" t="str">
        <f>LOOKUP(A53,INICIO!A:A,INICIO!K:K)</f>
        <v/>
      </c>
      <c r="D53" s="105" t="str">
        <f t="shared" si="3"/>
        <v/>
      </c>
      <c r="I53" s="37">
        <f t="shared" si="4"/>
        <v>0</v>
      </c>
      <c r="J53" s="3" t="str">
        <f>IF(B53,SUBSTITUTE(C$8,"???",EDITAR!C53),"")</f>
        <v/>
      </c>
    </row>
    <row r="54" spans="1:10" hidden="1" x14ac:dyDescent="0.25">
      <c r="A54" s="12">
        <v>47</v>
      </c>
      <c r="B54" s="12">
        <f>LOOKUP(A54,INICIO!A:A,INICIO!J:J)</f>
        <v>0</v>
      </c>
      <c r="C54" s="12" t="str">
        <f>LOOKUP(A54,INICIO!A:A,INICIO!K:K)</f>
        <v/>
      </c>
      <c r="D54" s="105" t="str">
        <f t="shared" si="3"/>
        <v/>
      </c>
      <c r="I54" s="37">
        <f t="shared" si="4"/>
        <v>0</v>
      </c>
      <c r="J54" s="3" t="str">
        <f>IF(B54,SUBSTITUTE(C$8,"???",EDITAR!C54),"")</f>
        <v/>
      </c>
    </row>
    <row r="55" spans="1:10" hidden="1" x14ac:dyDescent="0.25">
      <c r="A55" s="12">
        <v>48</v>
      </c>
      <c r="B55" s="12">
        <f>LOOKUP(A55,INICIO!A:A,INICIO!J:J)</f>
        <v>0</v>
      </c>
      <c r="C55" s="12" t="str">
        <f>LOOKUP(A55,INICIO!A:A,INICIO!K:K)</f>
        <v/>
      </c>
      <c r="D55" s="105" t="str">
        <f t="shared" si="3"/>
        <v/>
      </c>
      <c r="I55" s="37">
        <f t="shared" si="4"/>
        <v>0</v>
      </c>
      <c r="J55" s="3" t="str">
        <f>IF(B55,SUBSTITUTE(C$8,"???",EDITAR!C55),"")</f>
        <v/>
      </c>
    </row>
    <row r="56" spans="1:10" hidden="1" x14ac:dyDescent="0.25">
      <c r="A56" s="12">
        <v>49</v>
      </c>
      <c r="B56" s="12">
        <f>LOOKUP(A56,INICIO!A:A,INICIO!J:J)</f>
        <v>0</v>
      </c>
      <c r="C56" s="12" t="str">
        <f>LOOKUP(A56,INICIO!A:A,INICIO!K:K)</f>
        <v/>
      </c>
      <c r="D56" s="105" t="str">
        <f t="shared" si="3"/>
        <v/>
      </c>
      <c r="I56" s="37">
        <f t="shared" si="4"/>
        <v>0</v>
      </c>
      <c r="J56" s="3" t="str">
        <f>IF(B56,SUBSTITUTE(C$8,"???",EDITAR!C56),"")</f>
        <v/>
      </c>
    </row>
    <row r="57" spans="1:10" hidden="1" x14ac:dyDescent="0.25">
      <c r="A57" s="12">
        <v>50</v>
      </c>
      <c r="B57" s="12">
        <f>LOOKUP(A57,INICIO!A:A,INICIO!J:J)</f>
        <v>0</v>
      </c>
      <c r="C57" s="12" t="str">
        <f>LOOKUP(A57,INICIO!A:A,INICIO!K:K)</f>
        <v/>
      </c>
      <c r="D57" s="105" t="str">
        <f t="shared" si="3"/>
        <v/>
      </c>
      <c r="I57" s="37">
        <f t="shared" si="4"/>
        <v>0</v>
      </c>
      <c r="J57" s="3" t="str">
        <f>IF(B57,SUBSTITUTE(C$8,"???",EDITAR!C57),"")</f>
        <v/>
      </c>
    </row>
    <row r="58" spans="1:10" hidden="1" x14ac:dyDescent="0.25">
      <c r="A58" s="12">
        <v>51</v>
      </c>
      <c r="B58" s="12">
        <f>LOOKUP(A58,INICIO!A:A,INICIO!J:J)</f>
        <v>0</v>
      </c>
      <c r="C58" s="12" t="str">
        <f>LOOKUP(A58,INICIO!A:A,INICIO!K:K)</f>
        <v/>
      </c>
      <c r="D58" s="105" t="str">
        <f t="shared" si="3"/>
        <v/>
      </c>
      <c r="I58" s="37">
        <f t="shared" si="4"/>
        <v>0</v>
      </c>
      <c r="J58" s="3" t="str">
        <f>IF(B58,SUBSTITUTE(C$8,"???",EDITAR!C58),"")</f>
        <v/>
      </c>
    </row>
    <row r="59" spans="1:10" hidden="1" x14ac:dyDescent="0.25">
      <c r="A59" s="12">
        <v>52</v>
      </c>
      <c r="B59" s="12">
        <f>LOOKUP(A59,INICIO!A:A,INICIO!J:J)</f>
        <v>0</v>
      </c>
      <c r="C59" s="12" t="str">
        <f>LOOKUP(A59,INICIO!A:A,INICIO!K:K)</f>
        <v/>
      </c>
      <c r="D59" s="105" t="str">
        <f t="shared" si="3"/>
        <v/>
      </c>
      <c r="I59" s="37">
        <f t="shared" si="4"/>
        <v>0</v>
      </c>
      <c r="J59" s="3" t="str">
        <f>IF(B59,SUBSTITUTE(C$8,"???",EDITAR!C59),"")</f>
        <v/>
      </c>
    </row>
    <row r="60" spans="1:10" hidden="1" x14ac:dyDescent="0.25">
      <c r="A60" s="12">
        <v>53</v>
      </c>
      <c r="B60" s="12">
        <f>LOOKUP(A60,INICIO!A:A,INICIO!J:J)</f>
        <v>0</v>
      </c>
      <c r="C60" s="12" t="str">
        <f>LOOKUP(A60,INICIO!A:A,INICIO!K:K)</f>
        <v/>
      </c>
      <c r="D60" s="105" t="str">
        <f t="shared" si="3"/>
        <v/>
      </c>
      <c r="I60" s="37">
        <f t="shared" si="4"/>
        <v>0</v>
      </c>
      <c r="J60" s="3" t="str">
        <f>IF(B60,SUBSTITUTE(C$8,"???",EDITAR!C60),"")</f>
        <v/>
      </c>
    </row>
    <row r="61" spans="1:10" hidden="1" x14ac:dyDescent="0.25">
      <c r="A61" s="12">
        <v>54</v>
      </c>
      <c r="B61" s="12">
        <f>LOOKUP(A61,INICIO!A:A,INICIO!J:J)</f>
        <v>0</v>
      </c>
      <c r="C61" s="12" t="str">
        <f>LOOKUP(A61,INICIO!A:A,INICIO!K:K)</f>
        <v/>
      </c>
      <c r="D61" s="105" t="str">
        <f t="shared" si="3"/>
        <v/>
      </c>
      <c r="I61" s="37">
        <f t="shared" si="4"/>
        <v>0</v>
      </c>
      <c r="J61" s="3" t="str">
        <f>IF(B61,SUBSTITUTE(C$8,"???",EDITAR!C61),"")</f>
        <v/>
      </c>
    </row>
    <row r="62" spans="1:10" hidden="1" x14ac:dyDescent="0.25">
      <c r="A62" s="12">
        <v>55</v>
      </c>
      <c r="B62" s="12">
        <f>LOOKUP(A62,INICIO!A:A,INICIO!J:J)</f>
        <v>0</v>
      </c>
      <c r="C62" s="12" t="str">
        <f>LOOKUP(A62,INICIO!A:A,INICIO!K:K)</f>
        <v/>
      </c>
      <c r="D62" s="105" t="str">
        <f t="shared" si="3"/>
        <v/>
      </c>
      <c r="I62" s="37">
        <f t="shared" si="4"/>
        <v>0</v>
      </c>
      <c r="J62" s="3" t="str">
        <f>IF(B62,SUBSTITUTE(C$8,"???",EDITAR!C62),"")</f>
        <v/>
      </c>
    </row>
    <row r="63" spans="1:10" hidden="1" x14ac:dyDescent="0.25">
      <c r="A63" s="12">
        <v>56</v>
      </c>
      <c r="B63" s="12">
        <f>LOOKUP(A63,INICIO!A:A,INICIO!J:J)</f>
        <v>0</v>
      </c>
      <c r="C63" s="12" t="str">
        <f>LOOKUP(A63,INICIO!A:A,INICIO!K:K)</f>
        <v/>
      </c>
      <c r="D63" s="105" t="str">
        <f t="shared" si="3"/>
        <v/>
      </c>
      <c r="I63" s="37">
        <f t="shared" si="4"/>
        <v>0</v>
      </c>
      <c r="J63" s="3" t="str">
        <f>IF(B63,SUBSTITUTE(C$8,"???",EDITAR!C63),"")</f>
        <v/>
      </c>
    </row>
    <row r="64" spans="1:10" hidden="1" x14ac:dyDescent="0.25">
      <c r="A64" s="12">
        <v>57</v>
      </c>
      <c r="B64" s="12">
        <f>LOOKUP(A64,INICIO!A:A,INICIO!J:J)</f>
        <v>0</v>
      </c>
      <c r="C64" s="12" t="str">
        <f>LOOKUP(A64,INICIO!A:A,INICIO!K:K)</f>
        <v/>
      </c>
      <c r="D64" s="105" t="str">
        <f t="shared" si="3"/>
        <v/>
      </c>
      <c r="I64" s="37">
        <f t="shared" si="4"/>
        <v>0</v>
      </c>
      <c r="J64" s="3" t="str">
        <f>IF(B64,SUBSTITUTE(C$8,"???",EDITAR!C64),"")</f>
        <v/>
      </c>
    </row>
    <row r="65" spans="1:10" hidden="1" x14ac:dyDescent="0.25">
      <c r="A65" s="12">
        <v>58</v>
      </c>
      <c r="B65" s="12">
        <f>LOOKUP(A65,INICIO!A:A,INICIO!J:J)</f>
        <v>0</v>
      </c>
      <c r="C65" s="12" t="str">
        <f>LOOKUP(A65,INICIO!A:A,INICIO!K:K)</f>
        <v/>
      </c>
      <c r="D65" s="105" t="str">
        <f t="shared" si="3"/>
        <v/>
      </c>
      <c r="I65" s="37">
        <f t="shared" si="4"/>
        <v>0</v>
      </c>
      <c r="J65" s="3" t="str">
        <f>IF(B65,SUBSTITUTE(C$8,"???",EDITAR!C65),"")</f>
        <v/>
      </c>
    </row>
    <row r="66" spans="1:10" hidden="1" x14ac:dyDescent="0.25">
      <c r="A66" s="12">
        <v>59</v>
      </c>
      <c r="B66" s="12">
        <f>LOOKUP(A66,INICIO!A:A,INICIO!J:J)</f>
        <v>0</v>
      </c>
      <c r="C66" s="12" t="str">
        <f>LOOKUP(A66,INICIO!A:A,INICIO!K:K)</f>
        <v/>
      </c>
      <c r="D66" s="105" t="str">
        <f t="shared" si="3"/>
        <v/>
      </c>
      <c r="I66" s="37">
        <f t="shared" si="4"/>
        <v>0</v>
      </c>
      <c r="J66" s="3" t="str">
        <f>IF(B66,SUBSTITUTE(C$8,"???",EDITAR!C66),"")</f>
        <v/>
      </c>
    </row>
    <row r="67" spans="1:10" hidden="1" x14ac:dyDescent="0.25">
      <c r="A67" s="12">
        <v>60</v>
      </c>
      <c r="B67" s="12">
        <f>LOOKUP(A67,INICIO!A:A,INICIO!J:J)</f>
        <v>0</v>
      </c>
      <c r="C67" s="12" t="str">
        <f>LOOKUP(A67,INICIO!A:A,INICIO!K:K)</f>
        <v/>
      </c>
      <c r="D67" s="105" t="str">
        <f t="shared" si="3"/>
        <v/>
      </c>
      <c r="I67" s="37">
        <f t="shared" si="4"/>
        <v>0</v>
      </c>
      <c r="J67" s="3" t="str">
        <f>IF(B67,SUBSTITUTE(C$8,"???",EDITAR!C67),"")</f>
        <v/>
      </c>
    </row>
    <row r="68" spans="1:10" hidden="1" x14ac:dyDescent="0.25">
      <c r="A68" s="12">
        <v>61</v>
      </c>
      <c r="B68" s="12">
        <f>LOOKUP(A68,INICIO!A:A,INICIO!J:J)</f>
        <v>0</v>
      </c>
      <c r="C68" s="12" t="str">
        <f>LOOKUP(A68,INICIO!A:A,INICIO!K:K)</f>
        <v/>
      </c>
      <c r="D68" s="105" t="str">
        <f t="shared" si="3"/>
        <v/>
      </c>
      <c r="I68" s="37">
        <f t="shared" si="4"/>
        <v>0</v>
      </c>
      <c r="J68" s="3" t="str">
        <f>IF(B68,SUBSTITUTE(C$8,"???",EDITAR!C68),"")</f>
        <v/>
      </c>
    </row>
    <row r="69" spans="1:10" hidden="1" x14ac:dyDescent="0.25">
      <c r="A69" s="12">
        <v>62</v>
      </c>
      <c r="B69" s="12">
        <f>LOOKUP(A69,INICIO!A:A,INICIO!J:J)</f>
        <v>0</v>
      </c>
      <c r="C69" s="12" t="str">
        <f>LOOKUP(A69,INICIO!A:A,INICIO!K:K)</f>
        <v/>
      </c>
      <c r="D69" s="105" t="str">
        <f t="shared" si="3"/>
        <v/>
      </c>
      <c r="I69" s="37">
        <f t="shared" si="4"/>
        <v>0</v>
      </c>
      <c r="J69" s="3" t="str">
        <f>IF(B69,SUBSTITUTE(C$8,"???",EDITAR!C69),"")</f>
        <v/>
      </c>
    </row>
    <row r="70" spans="1:10" hidden="1" x14ac:dyDescent="0.25">
      <c r="A70" s="12">
        <v>63</v>
      </c>
      <c r="B70" s="12">
        <f>LOOKUP(A70,INICIO!A:A,INICIO!J:J)</f>
        <v>0</v>
      </c>
      <c r="C70" s="12" t="str">
        <f>LOOKUP(A70,INICIO!A:A,INICIO!K:K)</f>
        <v/>
      </c>
      <c r="D70" s="105" t="str">
        <f t="shared" si="3"/>
        <v/>
      </c>
      <c r="I70" s="37">
        <f t="shared" si="4"/>
        <v>0</v>
      </c>
      <c r="J70" s="3" t="str">
        <f>IF(B70,SUBSTITUTE(C$8,"???",EDITAR!C70),"")</f>
        <v/>
      </c>
    </row>
    <row r="71" spans="1:10" hidden="1" x14ac:dyDescent="0.25">
      <c r="A71" s="12">
        <v>64</v>
      </c>
      <c r="B71" s="12">
        <f>LOOKUP(A71,INICIO!A:A,INICIO!J:J)</f>
        <v>0</v>
      </c>
      <c r="C71" s="12" t="str">
        <f>LOOKUP(A71,INICIO!A:A,INICIO!K:K)</f>
        <v/>
      </c>
      <c r="D71" s="105" t="str">
        <f t="shared" si="3"/>
        <v/>
      </c>
      <c r="I71" s="37">
        <f t="shared" si="4"/>
        <v>0</v>
      </c>
      <c r="J71" s="3" t="str">
        <f>IF(B71,SUBSTITUTE(C$8,"???",EDITAR!C71),"")</f>
        <v/>
      </c>
    </row>
    <row r="72" spans="1:10" hidden="1" x14ac:dyDescent="0.25">
      <c r="A72" s="12">
        <v>65</v>
      </c>
      <c r="B72" s="12">
        <f>LOOKUP(A72,INICIO!A:A,INICIO!J:J)</f>
        <v>0</v>
      </c>
      <c r="C72" s="12" t="str">
        <f>LOOKUP(A72,INICIO!A:A,INICIO!K:K)</f>
        <v/>
      </c>
      <c r="D72" s="105" t="str">
        <f t="shared" si="3"/>
        <v/>
      </c>
      <c r="I72" s="37">
        <f t="shared" si="4"/>
        <v>0</v>
      </c>
      <c r="J72" s="3" t="str">
        <f>IF(B72,SUBSTITUTE(C$8,"???",EDITAR!C72),"")</f>
        <v/>
      </c>
    </row>
    <row r="73" spans="1:10" hidden="1" x14ac:dyDescent="0.25">
      <c r="A73" s="12">
        <v>66</v>
      </c>
      <c r="B73" s="12">
        <f>LOOKUP(A73,INICIO!A:A,INICIO!J:J)</f>
        <v>0</v>
      </c>
      <c r="C73" s="12" t="str">
        <f>LOOKUP(A73,INICIO!A:A,INICIO!K:K)</f>
        <v/>
      </c>
      <c r="D73" s="105" t="str">
        <f t="shared" si="3"/>
        <v/>
      </c>
      <c r="I73" s="37">
        <f t="shared" si="4"/>
        <v>0</v>
      </c>
      <c r="J73" s="3" t="str">
        <f>IF(B73,SUBSTITUTE(C$8,"???",EDITAR!C73),"")</f>
        <v/>
      </c>
    </row>
    <row r="74" spans="1:10" hidden="1" x14ac:dyDescent="0.25">
      <c r="A74" s="12">
        <v>67</v>
      </c>
      <c r="B74" s="12">
        <f>LOOKUP(A74,INICIO!A:A,INICIO!J:J)</f>
        <v>0</v>
      </c>
      <c r="C74" s="12" t="str">
        <f>LOOKUP(A74,INICIO!A:A,INICIO!K:K)</f>
        <v/>
      </c>
      <c r="D74" s="105" t="str">
        <f t="shared" si="3"/>
        <v/>
      </c>
      <c r="I74" s="37">
        <f t="shared" si="4"/>
        <v>0</v>
      </c>
      <c r="J74" s="3" t="str">
        <f>IF(B74,SUBSTITUTE(C$8,"???",EDITAR!C74),"")</f>
        <v/>
      </c>
    </row>
    <row r="75" spans="1:10" hidden="1" x14ac:dyDescent="0.25">
      <c r="A75" s="12">
        <v>68</v>
      </c>
      <c r="B75" s="12">
        <f>LOOKUP(A75,INICIO!A:A,INICIO!J:J)</f>
        <v>0</v>
      </c>
      <c r="C75" s="12" t="str">
        <f>LOOKUP(A75,INICIO!A:A,INICIO!K:K)</f>
        <v/>
      </c>
      <c r="D75" s="105" t="str">
        <f t="shared" ref="D75:D107" si="5">IF(B75,CONCATENATE(", ",C75," = ","@",C75),"")</f>
        <v/>
      </c>
      <c r="I75" s="37">
        <f t="shared" ref="I75:I107" si="6">IF(J75&lt;&gt;"",1,0)</f>
        <v>0</v>
      </c>
      <c r="J75" s="3" t="str">
        <f>IF(B75,SUBSTITUTE(C$8,"???",EDITAR!C75),"")</f>
        <v/>
      </c>
    </row>
    <row r="76" spans="1:10" hidden="1" x14ac:dyDescent="0.25">
      <c r="A76" s="12">
        <v>69</v>
      </c>
      <c r="B76" s="12">
        <f>LOOKUP(A76,INICIO!A:A,INICIO!J:J)</f>
        <v>0</v>
      </c>
      <c r="C76" s="12" t="str">
        <f>LOOKUP(A76,INICIO!A:A,INICIO!K:K)</f>
        <v/>
      </c>
      <c r="D76" s="105" t="str">
        <f t="shared" si="5"/>
        <v/>
      </c>
      <c r="I76" s="37">
        <f t="shared" si="6"/>
        <v>0</v>
      </c>
      <c r="J76" s="3" t="str">
        <f>IF(B76,SUBSTITUTE(C$8,"???",EDITAR!C76),"")</f>
        <v/>
      </c>
    </row>
    <row r="77" spans="1:10" hidden="1" x14ac:dyDescent="0.25">
      <c r="A77" s="12">
        <v>70</v>
      </c>
      <c r="B77" s="12">
        <f>LOOKUP(A77,INICIO!A:A,INICIO!J:J)</f>
        <v>0</v>
      </c>
      <c r="C77" s="12" t="str">
        <f>LOOKUP(A77,INICIO!A:A,INICIO!K:K)</f>
        <v/>
      </c>
      <c r="D77" s="105" t="str">
        <f t="shared" si="5"/>
        <v/>
      </c>
      <c r="I77" s="37">
        <f t="shared" si="6"/>
        <v>0</v>
      </c>
      <c r="J77" s="3" t="str">
        <f>IF(B77,SUBSTITUTE(C$8,"???",EDITAR!C77),"")</f>
        <v/>
      </c>
    </row>
    <row r="78" spans="1:10" hidden="1" x14ac:dyDescent="0.25">
      <c r="A78" s="12">
        <v>71</v>
      </c>
      <c r="B78" s="12">
        <f>LOOKUP(A78,INICIO!A:A,INICIO!J:J)</f>
        <v>0</v>
      </c>
      <c r="C78" s="12" t="str">
        <f>LOOKUP(A78,INICIO!A:A,INICIO!K:K)</f>
        <v/>
      </c>
      <c r="D78" s="105" t="str">
        <f t="shared" si="5"/>
        <v/>
      </c>
      <c r="I78" s="37">
        <f t="shared" si="6"/>
        <v>0</v>
      </c>
      <c r="J78" s="3" t="str">
        <f>IF(B78,SUBSTITUTE(C$8,"???",EDITAR!C78),"")</f>
        <v/>
      </c>
    </row>
    <row r="79" spans="1:10" hidden="1" x14ac:dyDescent="0.25">
      <c r="A79" s="12">
        <v>72</v>
      </c>
      <c r="B79" s="12">
        <f>LOOKUP(A79,INICIO!A:A,INICIO!J:J)</f>
        <v>0</v>
      </c>
      <c r="C79" s="12" t="str">
        <f>LOOKUP(A79,INICIO!A:A,INICIO!K:K)</f>
        <v/>
      </c>
      <c r="D79" s="105" t="str">
        <f t="shared" si="5"/>
        <v/>
      </c>
      <c r="I79" s="37">
        <f t="shared" si="6"/>
        <v>0</v>
      </c>
      <c r="J79" s="3" t="str">
        <f>IF(B79,SUBSTITUTE(C$8,"???",EDITAR!C79),"")</f>
        <v/>
      </c>
    </row>
    <row r="80" spans="1:10" hidden="1" x14ac:dyDescent="0.25">
      <c r="A80" s="12">
        <v>73</v>
      </c>
      <c r="B80" s="12">
        <f>LOOKUP(A80,INICIO!A:A,INICIO!J:J)</f>
        <v>0</v>
      </c>
      <c r="C80" s="12" t="str">
        <f>LOOKUP(A80,INICIO!A:A,INICIO!K:K)</f>
        <v/>
      </c>
      <c r="D80" s="105" t="str">
        <f t="shared" si="5"/>
        <v/>
      </c>
      <c r="I80" s="37">
        <f t="shared" si="6"/>
        <v>0</v>
      </c>
      <c r="J80" s="3" t="str">
        <f>IF(B80,SUBSTITUTE(C$8,"???",EDITAR!C80),"")</f>
        <v/>
      </c>
    </row>
    <row r="81" spans="1:10" hidden="1" x14ac:dyDescent="0.25">
      <c r="A81" s="12">
        <v>74</v>
      </c>
      <c r="B81" s="12">
        <f>LOOKUP(A81,INICIO!A:A,INICIO!J:J)</f>
        <v>0</v>
      </c>
      <c r="C81" s="12" t="str">
        <f>LOOKUP(A81,INICIO!A:A,INICIO!K:K)</f>
        <v/>
      </c>
      <c r="D81" s="105" t="str">
        <f t="shared" si="5"/>
        <v/>
      </c>
      <c r="I81" s="37">
        <f t="shared" si="6"/>
        <v>0</v>
      </c>
      <c r="J81" s="3" t="str">
        <f>IF(B81,SUBSTITUTE(C$8,"???",EDITAR!C81),"")</f>
        <v/>
      </c>
    </row>
    <row r="82" spans="1:10" hidden="1" x14ac:dyDescent="0.25">
      <c r="A82" s="12">
        <v>75</v>
      </c>
      <c r="B82" s="12">
        <f>LOOKUP(A82,INICIO!A:A,INICIO!J:J)</f>
        <v>0</v>
      </c>
      <c r="C82" s="12" t="str">
        <f>LOOKUP(A82,INICIO!A:A,INICIO!K:K)</f>
        <v/>
      </c>
      <c r="D82" s="105" t="str">
        <f t="shared" si="5"/>
        <v/>
      </c>
      <c r="I82" s="37">
        <f t="shared" si="6"/>
        <v>0</v>
      </c>
      <c r="J82" s="3" t="str">
        <f>IF(B82,SUBSTITUTE(C$8,"???",EDITAR!C82),"")</f>
        <v/>
      </c>
    </row>
    <row r="83" spans="1:10" hidden="1" x14ac:dyDescent="0.25">
      <c r="A83" s="12">
        <v>76</v>
      </c>
      <c r="B83" s="12">
        <f>LOOKUP(A83,INICIO!A:A,INICIO!J:J)</f>
        <v>0</v>
      </c>
      <c r="C83" s="12" t="str">
        <f>LOOKUP(A83,INICIO!A:A,INICIO!K:K)</f>
        <v/>
      </c>
      <c r="D83" s="105" t="str">
        <f t="shared" si="5"/>
        <v/>
      </c>
      <c r="I83" s="37">
        <f t="shared" si="6"/>
        <v>0</v>
      </c>
      <c r="J83" s="3" t="str">
        <f>IF(B83,SUBSTITUTE(C$8,"???",EDITAR!C83),"")</f>
        <v/>
      </c>
    </row>
    <row r="84" spans="1:10" hidden="1" x14ac:dyDescent="0.25">
      <c r="A84" s="12">
        <v>77</v>
      </c>
      <c r="B84" s="12">
        <f>LOOKUP(A84,INICIO!A:A,INICIO!J:J)</f>
        <v>0</v>
      </c>
      <c r="C84" s="12" t="str">
        <f>LOOKUP(A84,INICIO!A:A,INICIO!K:K)</f>
        <v/>
      </c>
      <c r="D84" s="105" t="str">
        <f t="shared" si="5"/>
        <v/>
      </c>
      <c r="I84" s="37">
        <f t="shared" si="6"/>
        <v>0</v>
      </c>
      <c r="J84" s="3" t="str">
        <f>IF(B84,SUBSTITUTE(C$8,"???",EDITAR!C84),"")</f>
        <v/>
      </c>
    </row>
    <row r="85" spans="1:10" hidden="1" x14ac:dyDescent="0.25">
      <c r="A85" s="12">
        <v>78</v>
      </c>
      <c r="B85" s="12">
        <f>LOOKUP(A85,INICIO!A:A,INICIO!J:J)</f>
        <v>0</v>
      </c>
      <c r="C85" s="12" t="str">
        <f>LOOKUP(A85,INICIO!A:A,INICIO!K:K)</f>
        <v/>
      </c>
      <c r="D85" s="105" t="str">
        <f t="shared" si="5"/>
        <v/>
      </c>
      <c r="I85" s="37">
        <f t="shared" si="6"/>
        <v>0</v>
      </c>
      <c r="J85" s="3" t="str">
        <f>IF(B85,SUBSTITUTE(C$8,"???",EDITAR!C85),"")</f>
        <v/>
      </c>
    </row>
    <row r="86" spans="1:10" hidden="1" x14ac:dyDescent="0.25">
      <c r="A86" s="12">
        <v>79</v>
      </c>
      <c r="B86" s="12">
        <f>LOOKUP(A86,INICIO!A:A,INICIO!J:J)</f>
        <v>0</v>
      </c>
      <c r="C86" s="12" t="str">
        <f>LOOKUP(A86,INICIO!A:A,INICIO!K:K)</f>
        <v/>
      </c>
      <c r="D86" s="105" t="str">
        <f t="shared" si="5"/>
        <v/>
      </c>
      <c r="I86" s="37">
        <f t="shared" si="6"/>
        <v>0</v>
      </c>
      <c r="J86" s="3" t="str">
        <f>IF(B86,SUBSTITUTE(C$8,"???",EDITAR!C86),"")</f>
        <v/>
      </c>
    </row>
    <row r="87" spans="1:10" hidden="1" x14ac:dyDescent="0.25">
      <c r="A87" s="12">
        <v>80</v>
      </c>
      <c r="B87" s="12">
        <f>LOOKUP(A87,INICIO!A:A,INICIO!J:J)</f>
        <v>0</v>
      </c>
      <c r="C87" s="12" t="str">
        <f>LOOKUP(A87,INICIO!A:A,INICIO!K:K)</f>
        <v/>
      </c>
      <c r="D87" s="105" t="str">
        <f t="shared" si="5"/>
        <v/>
      </c>
      <c r="I87" s="37">
        <f t="shared" si="6"/>
        <v>0</v>
      </c>
      <c r="J87" s="3" t="str">
        <f>IF(B87,SUBSTITUTE(C$8,"???",EDITAR!C87),"")</f>
        <v/>
      </c>
    </row>
    <row r="88" spans="1:10" hidden="1" x14ac:dyDescent="0.25">
      <c r="A88" s="12">
        <v>81</v>
      </c>
      <c r="B88" s="12">
        <f>LOOKUP(A88,INICIO!A:A,INICIO!J:J)</f>
        <v>0</v>
      </c>
      <c r="C88" s="12" t="str">
        <f>LOOKUP(A88,INICIO!A:A,INICIO!K:K)</f>
        <v/>
      </c>
      <c r="D88" s="105" t="str">
        <f t="shared" si="5"/>
        <v/>
      </c>
      <c r="I88" s="37">
        <f t="shared" si="6"/>
        <v>0</v>
      </c>
      <c r="J88" s="3" t="str">
        <f>IF(B88,SUBSTITUTE(C$8,"???",EDITAR!C88),"")</f>
        <v/>
      </c>
    </row>
    <row r="89" spans="1:10" hidden="1" x14ac:dyDescent="0.25">
      <c r="A89" s="12">
        <v>82</v>
      </c>
      <c r="B89" s="12">
        <f>LOOKUP(A89,INICIO!A:A,INICIO!J:J)</f>
        <v>0</v>
      </c>
      <c r="C89" s="12" t="str">
        <f>LOOKUP(A89,INICIO!A:A,INICIO!K:K)</f>
        <v/>
      </c>
      <c r="D89" s="105" t="str">
        <f t="shared" si="5"/>
        <v/>
      </c>
      <c r="I89" s="37">
        <f t="shared" si="6"/>
        <v>0</v>
      </c>
      <c r="J89" s="3" t="str">
        <f>IF(B89,SUBSTITUTE(C$8,"???",EDITAR!C89),"")</f>
        <v/>
      </c>
    </row>
    <row r="90" spans="1:10" hidden="1" x14ac:dyDescent="0.25">
      <c r="A90" s="12">
        <v>83</v>
      </c>
      <c r="B90" s="12">
        <f>LOOKUP(A90,INICIO!A:A,INICIO!J:J)</f>
        <v>0</v>
      </c>
      <c r="C90" s="12" t="str">
        <f>LOOKUP(A90,INICIO!A:A,INICIO!K:K)</f>
        <v/>
      </c>
      <c r="D90" s="105" t="str">
        <f t="shared" si="5"/>
        <v/>
      </c>
      <c r="I90" s="37">
        <f t="shared" si="6"/>
        <v>0</v>
      </c>
      <c r="J90" s="3" t="str">
        <f>IF(B90,SUBSTITUTE(C$8,"???",EDITAR!C90),"")</f>
        <v/>
      </c>
    </row>
    <row r="91" spans="1:10" hidden="1" x14ac:dyDescent="0.25">
      <c r="A91" s="12">
        <v>84</v>
      </c>
      <c r="B91" s="12">
        <f>LOOKUP(A91,INICIO!A:A,INICIO!J:J)</f>
        <v>0</v>
      </c>
      <c r="C91" s="12" t="str">
        <f>LOOKUP(A91,INICIO!A:A,INICIO!K:K)</f>
        <v/>
      </c>
      <c r="D91" s="105" t="str">
        <f t="shared" si="5"/>
        <v/>
      </c>
      <c r="I91" s="37">
        <f t="shared" si="6"/>
        <v>0</v>
      </c>
      <c r="J91" s="3" t="str">
        <f>IF(B91,SUBSTITUTE(C$8,"???",EDITAR!C91),"")</f>
        <v/>
      </c>
    </row>
    <row r="92" spans="1:10" hidden="1" x14ac:dyDescent="0.25">
      <c r="A92" s="12">
        <v>85</v>
      </c>
      <c r="B92" s="12">
        <f>LOOKUP(A92,INICIO!A:A,INICIO!J:J)</f>
        <v>0</v>
      </c>
      <c r="C92" s="12" t="str">
        <f>LOOKUP(A92,INICIO!A:A,INICIO!K:K)</f>
        <v/>
      </c>
      <c r="D92" s="105" t="str">
        <f t="shared" si="5"/>
        <v/>
      </c>
      <c r="I92" s="37">
        <f t="shared" si="6"/>
        <v>0</v>
      </c>
      <c r="J92" s="3" t="str">
        <f>IF(B92,SUBSTITUTE(C$8,"???",EDITAR!C92),"")</f>
        <v/>
      </c>
    </row>
    <row r="93" spans="1:10" hidden="1" x14ac:dyDescent="0.25">
      <c r="A93" s="12">
        <v>86</v>
      </c>
      <c r="B93" s="12">
        <f>LOOKUP(A93,INICIO!A:A,INICIO!J:J)</f>
        <v>0</v>
      </c>
      <c r="C93" s="12" t="str">
        <f>LOOKUP(A93,INICIO!A:A,INICIO!K:K)</f>
        <v/>
      </c>
      <c r="D93" s="105" t="str">
        <f t="shared" si="5"/>
        <v/>
      </c>
      <c r="I93" s="37">
        <f t="shared" si="6"/>
        <v>0</v>
      </c>
      <c r="J93" s="3" t="str">
        <f>IF(B93,SUBSTITUTE(C$8,"???",EDITAR!C93),"")</f>
        <v/>
      </c>
    </row>
    <row r="94" spans="1:10" hidden="1" x14ac:dyDescent="0.25">
      <c r="A94" s="12">
        <v>87</v>
      </c>
      <c r="B94" s="12">
        <f>LOOKUP(A94,INICIO!A:A,INICIO!J:J)</f>
        <v>0</v>
      </c>
      <c r="C94" s="12" t="str">
        <f>LOOKUP(A94,INICIO!A:A,INICIO!K:K)</f>
        <v/>
      </c>
      <c r="D94" s="105" t="str">
        <f t="shared" si="5"/>
        <v/>
      </c>
      <c r="I94" s="37">
        <f t="shared" si="6"/>
        <v>0</v>
      </c>
      <c r="J94" s="3" t="str">
        <f>IF(B94,SUBSTITUTE(C$8,"???",EDITAR!C94),"")</f>
        <v/>
      </c>
    </row>
    <row r="95" spans="1:10" hidden="1" x14ac:dyDescent="0.25">
      <c r="A95" s="12">
        <v>88</v>
      </c>
      <c r="B95" s="12">
        <f>LOOKUP(A95,INICIO!A:A,INICIO!J:J)</f>
        <v>0</v>
      </c>
      <c r="C95" s="12" t="str">
        <f>LOOKUP(A95,INICIO!A:A,INICIO!K:K)</f>
        <v/>
      </c>
      <c r="D95" s="105" t="str">
        <f t="shared" si="5"/>
        <v/>
      </c>
      <c r="I95" s="37">
        <f t="shared" si="6"/>
        <v>0</v>
      </c>
      <c r="J95" s="3" t="str">
        <f>IF(B95,SUBSTITUTE(C$8,"???",EDITAR!C95),"")</f>
        <v/>
      </c>
    </row>
    <row r="96" spans="1:10" hidden="1" x14ac:dyDescent="0.25">
      <c r="A96" s="12">
        <v>89</v>
      </c>
      <c r="B96" s="12">
        <f>LOOKUP(A96,INICIO!A:A,INICIO!J:J)</f>
        <v>0</v>
      </c>
      <c r="C96" s="12" t="str">
        <f>LOOKUP(A96,INICIO!A:A,INICIO!K:K)</f>
        <v/>
      </c>
      <c r="D96" s="105" t="str">
        <f t="shared" si="5"/>
        <v/>
      </c>
      <c r="I96" s="37">
        <f t="shared" si="6"/>
        <v>0</v>
      </c>
      <c r="J96" s="3" t="str">
        <f>IF(B96,SUBSTITUTE(C$8,"???",EDITAR!C96),"")</f>
        <v/>
      </c>
    </row>
    <row r="97" spans="1:10" hidden="1" x14ac:dyDescent="0.25">
      <c r="A97" s="12">
        <v>90</v>
      </c>
      <c r="B97" s="12">
        <f>LOOKUP(A97,INICIO!A:A,INICIO!J:J)</f>
        <v>0</v>
      </c>
      <c r="C97" s="12" t="str">
        <f>LOOKUP(A97,INICIO!A:A,INICIO!K:K)</f>
        <v/>
      </c>
      <c r="D97" s="105" t="str">
        <f t="shared" si="5"/>
        <v/>
      </c>
      <c r="I97" s="37">
        <f t="shared" si="6"/>
        <v>0</v>
      </c>
      <c r="J97" s="3" t="str">
        <f>IF(B97,SUBSTITUTE(C$8,"???",EDITAR!C97),"")</f>
        <v/>
      </c>
    </row>
    <row r="98" spans="1:10" hidden="1" x14ac:dyDescent="0.25">
      <c r="A98" s="12">
        <v>91</v>
      </c>
      <c r="B98" s="12">
        <f>LOOKUP(A98,INICIO!A:A,INICIO!J:J)</f>
        <v>0</v>
      </c>
      <c r="C98" s="12" t="str">
        <f>LOOKUP(A98,INICIO!A:A,INICIO!K:K)</f>
        <v/>
      </c>
      <c r="D98" s="105" t="str">
        <f t="shared" si="5"/>
        <v/>
      </c>
      <c r="I98" s="37">
        <f t="shared" si="6"/>
        <v>0</v>
      </c>
      <c r="J98" s="3" t="str">
        <f>IF(B98,SUBSTITUTE(C$8,"???",EDITAR!C98),"")</f>
        <v/>
      </c>
    </row>
    <row r="99" spans="1:10" hidden="1" x14ac:dyDescent="0.25">
      <c r="A99" s="12">
        <v>92</v>
      </c>
      <c r="B99" s="12">
        <f>LOOKUP(A99,INICIO!A:A,INICIO!J:J)</f>
        <v>0</v>
      </c>
      <c r="C99" s="12" t="str">
        <f>LOOKUP(A99,INICIO!A:A,INICIO!K:K)</f>
        <v/>
      </c>
      <c r="D99" s="105" t="str">
        <f t="shared" si="5"/>
        <v/>
      </c>
      <c r="I99" s="37">
        <f t="shared" si="6"/>
        <v>0</v>
      </c>
      <c r="J99" s="3" t="str">
        <f>IF(B99,SUBSTITUTE(C$8,"???",EDITAR!C99),"")</f>
        <v/>
      </c>
    </row>
    <row r="100" spans="1:10" hidden="1" x14ac:dyDescent="0.25">
      <c r="A100" s="12">
        <v>93</v>
      </c>
      <c r="B100" s="12">
        <f>LOOKUP(A100,INICIO!A:A,INICIO!J:J)</f>
        <v>0</v>
      </c>
      <c r="C100" s="12" t="str">
        <f>LOOKUP(A100,INICIO!A:A,INICIO!K:K)</f>
        <v/>
      </c>
      <c r="D100" s="105" t="str">
        <f t="shared" si="5"/>
        <v/>
      </c>
      <c r="I100" s="37">
        <f t="shared" si="6"/>
        <v>0</v>
      </c>
      <c r="J100" s="3" t="str">
        <f>IF(B100,SUBSTITUTE(C$8,"???",EDITAR!C100),"")</f>
        <v/>
      </c>
    </row>
    <row r="101" spans="1:10" hidden="1" x14ac:dyDescent="0.25">
      <c r="A101" s="12">
        <v>94</v>
      </c>
      <c r="B101" s="12">
        <f>LOOKUP(A101,INICIO!A:A,INICIO!J:J)</f>
        <v>0</v>
      </c>
      <c r="C101" s="12" t="str">
        <f>LOOKUP(A101,INICIO!A:A,INICIO!K:K)</f>
        <v/>
      </c>
      <c r="D101" s="105" t="str">
        <f t="shared" si="5"/>
        <v/>
      </c>
      <c r="I101" s="37">
        <f t="shared" si="6"/>
        <v>0</v>
      </c>
      <c r="J101" s="3" t="str">
        <f>IF(B101,SUBSTITUTE(C$8,"???",EDITAR!C101),"")</f>
        <v/>
      </c>
    </row>
    <row r="102" spans="1:10" hidden="1" x14ac:dyDescent="0.25">
      <c r="A102" s="12">
        <v>95</v>
      </c>
      <c r="B102" s="12">
        <f>LOOKUP(A102,INICIO!A:A,INICIO!J:J)</f>
        <v>0</v>
      </c>
      <c r="C102" s="12" t="str">
        <f>LOOKUP(A102,INICIO!A:A,INICIO!K:K)</f>
        <v/>
      </c>
      <c r="D102" s="105" t="str">
        <f t="shared" si="5"/>
        <v/>
      </c>
      <c r="I102" s="37">
        <f t="shared" si="6"/>
        <v>0</v>
      </c>
      <c r="J102" s="3" t="str">
        <f>IF(B102,SUBSTITUTE(C$8,"???",EDITAR!C102),"")</f>
        <v/>
      </c>
    </row>
    <row r="103" spans="1:10" hidden="1" x14ac:dyDescent="0.25">
      <c r="A103" s="12">
        <v>96</v>
      </c>
      <c r="B103" s="12">
        <f>LOOKUP(A103,INICIO!A:A,INICIO!J:J)</f>
        <v>0</v>
      </c>
      <c r="C103" s="12" t="str">
        <f>LOOKUP(A103,INICIO!A:A,INICIO!K:K)</f>
        <v/>
      </c>
      <c r="D103" s="105" t="str">
        <f t="shared" si="5"/>
        <v/>
      </c>
      <c r="I103" s="37">
        <f t="shared" si="6"/>
        <v>0</v>
      </c>
      <c r="J103" s="3" t="str">
        <f>IF(B103,SUBSTITUTE(C$8,"???",EDITAR!C103),"")</f>
        <v/>
      </c>
    </row>
    <row r="104" spans="1:10" hidden="1" x14ac:dyDescent="0.25">
      <c r="A104" s="12">
        <v>97</v>
      </c>
      <c r="B104" s="12">
        <f>LOOKUP(A104,INICIO!A:A,INICIO!J:J)</f>
        <v>0</v>
      </c>
      <c r="C104" s="12" t="str">
        <f>LOOKUP(A104,INICIO!A:A,INICIO!K:K)</f>
        <v/>
      </c>
      <c r="D104" s="105" t="str">
        <f t="shared" si="5"/>
        <v/>
      </c>
      <c r="I104" s="37">
        <f t="shared" si="6"/>
        <v>0</v>
      </c>
      <c r="J104" s="3" t="str">
        <f>IF(B104,SUBSTITUTE(C$8,"???",EDITAR!C104),"")</f>
        <v/>
      </c>
    </row>
    <row r="105" spans="1:10" hidden="1" x14ac:dyDescent="0.25">
      <c r="A105" s="12">
        <v>98</v>
      </c>
      <c r="B105" s="12">
        <f>LOOKUP(A105,INICIO!A:A,INICIO!J:J)</f>
        <v>0</v>
      </c>
      <c r="C105" s="12" t="str">
        <f>LOOKUP(A105,INICIO!A:A,INICIO!K:K)</f>
        <v/>
      </c>
      <c r="D105" s="105" t="str">
        <f t="shared" si="5"/>
        <v/>
      </c>
      <c r="I105" s="37">
        <f t="shared" si="6"/>
        <v>0</v>
      </c>
      <c r="J105" s="3" t="str">
        <f>IF(B105,SUBSTITUTE(C$8,"???",EDITAR!C105),"")</f>
        <v/>
      </c>
    </row>
    <row r="106" spans="1:10" hidden="1" x14ac:dyDescent="0.25">
      <c r="A106" s="12">
        <v>99</v>
      </c>
      <c r="B106" s="12">
        <f>LOOKUP(A106,INICIO!A:A,INICIO!J:J)</f>
        <v>0</v>
      </c>
      <c r="C106" s="12" t="str">
        <f>LOOKUP(A106,INICIO!A:A,INICIO!K:K)</f>
        <v/>
      </c>
      <c r="D106" s="105" t="str">
        <f t="shared" si="5"/>
        <v/>
      </c>
      <c r="I106" s="37">
        <f t="shared" si="6"/>
        <v>0</v>
      </c>
      <c r="J106" s="3" t="str">
        <f>IF(B106,SUBSTITUTE(C$8,"???",EDITAR!C106),"")</f>
        <v/>
      </c>
    </row>
    <row r="107" spans="1:10" hidden="1" x14ac:dyDescent="0.25">
      <c r="A107" s="12">
        <v>100</v>
      </c>
      <c r="B107" s="12">
        <f>LOOKUP(A107,INICIO!A:A,INICIO!J:J)</f>
        <v>0</v>
      </c>
      <c r="C107" s="12" t="str">
        <f>LOOKUP(A107,INICIO!A:A,INICIO!K:K)</f>
        <v/>
      </c>
      <c r="D107" s="105" t="str">
        <f t="shared" si="5"/>
        <v/>
      </c>
      <c r="I107" s="37">
        <f t="shared" si="6"/>
        <v>0</v>
      </c>
      <c r="J107" s="3" t="str">
        <f>IF(B107,SUBSTITUTE(C$8,"???",EDITAR!C107),"")</f>
        <v/>
      </c>
    </row>
    <row r="108" spans="1:10" hidden="1" x14ac:dyDescent="0.25">
      <c r="I108" s="37">
        <f t="shared" ref="I108:I118" si="7">IF(J108&lt;&gt;"",1,0)</f>
        <v>0</v>
      </c>
      <c r="J108" s="3"/>
    </row>
    <row r="109" spans="1:10" x14ac:dyDescent="0.25">
      <c r="B109" s="39" t="s">
        <v>115</v>
      </c>
      <c r="C109" s="39"/>
      <c r="I109" s="37">
        <f t="shared" si="7"/>
        <v>1</v>
      </c>
      <c r="J109" s="3" t="str">
        <f t="shared" ref="J109:J123" si="8">CONCATENATE(B109,C109,D109,E109,)</f>
        <v xml:space="preserve">                conexao.Open();</v>
      </c>
    </row>
    <row r="110" spans="1:10" x14ac:dyDescent="0.25">
      <c r="B110" s="39" t="s">
        <v>123</v>
      </c>
      <c r="C110" s="39"/>
      <c r="I110" s="37">
        <f t="shared" si="7"/>
        <v>1</v>
      </c>
      <c r="J110" s="3" t="str">
        <f t="shared" si="8"/>
        <v xml:space="preserve">                sql.ExecuteNonQuery();</v>
      </c>
    </row>
    <row r="111" spans="1:10" x14ac:dyDescent="0.25">
      <c r="B111" s="39" t="s">
        <v>24</v>
      </c>
      <c r="C111" s="39"/>
      <c r="I111" s="37">
        <f t="shared" si="7"/>
        <v>1</v>
      </c>
      <c r="J111" s="3" t="str">
        <f t="shared" si="8"/>
        <v xml:space="preserve">                if (conexao.State == ConnectionState.Open)</v>
      </c>
    </row>
    <row r="112" spans="1:10" x14ac:dyDescent="0.25">
      <c r="B112" s="39" t="s">
        <v>25</v>
      </c>
      <c r="C112" s="39"/>
      <c r="I112" s="37">
        <f t="shared" si="7"/>
        <v>1</v>
      </c>
      <c r="J112" s="3" t="str">
        <f t="shared" si="8"/>
        <v xml:space="preserve">                {</v>
      </c>
    </row>
    <row r="113" spans="2:10" x14ac:dyDescent="0.25">
      <c r="B113" s="39" t="s">
        <v>26</v>
      </c>
      <c r="C113" s="39"/>
      <c r="I113" s="37">
        <f t="shared" si="7"/>
        <v>1</v>
      </c>
      <c r="J113" s="3" t="str">
        <f t="shared" si="8"/>
        <v xml:space="preserve">                    conexao.Close();</v>
      </c>
    </row>
    <row r="114" spans="2:10" x14ac:dyDescent="0.25">
      <c r="B114" s="39" t="s">
        <v>27</v>
      </c>
      <c r="C114" s="39"/>
      <c r="I114" s="37">
        <f t="shared" si="7"/>
        <v>1</v>
      </c>
      <c r="J114" s="3" t="str">
        <f t="shared" si="8"/>
        <v xml:space="preserve">                    conexao.Dispose();</v>
      </c>
    </row>
    <row r="115" spans="2:10" x14ac:dyDescent="0.25">
      <c r="B115" s="39" t="s">
        <v>28</v>
      </c>
      <c r="C115" s="39"/>
      <c r="I115" s="37">
        <f t="shared" si="7"/>
        <v>1</v>
      </c>
      <c r="J115" s="3" t="str">
        <f t="shared" si="8"/>
        <v xml:space="preserve">                }</v>
      </c>
    </row>
    <row r="116" spans="2:10" x14ac:dyDescent="0.25">
      <c r="B116" s="39" t="s">
        <v>29</v>
      </c>
      <c r="C116" s="39"/>
      <c r="I116" s="37">
        <f t="shared" si="7"/>
        <v>1</v>
      </c>
      <c r="J116" s="3" t="str">
        <f t="shared" si="8"/>
        <v xml:space="preserve">                sql.Dispose();</v>
      </c>
    </row>
    <row r="117" spans="2:10" x14ac:dyDescent="0.25">
      <c r="B117" s="39" t="s">
        <v>30</v>
      </c>
      <c r="C117" s="39"/>
      <c r="I117" s="37">
        <f t="shared" si="7"/>
        <v>1</v>
      </c>
      <c r="J117" s="3" t="str">
        <f t="shared" si="8"/>
        <v xml:space="preserve">                return true;</v>
      </c>
    </row>
    <row r="118" spans="2:10" x14ac:dyDescent="0.25">
      <c r="B118" s="39" t="s">
        <v>12</v>
      </c>
      <c r="C118" s="39"/>
      <c r="I118" s="37">
        <f t="shared" si="7"/>
        <v>1</v>
      </c>
      <c r="J118" s="3" t="str">
        <f t="shared" si="8"/>
        <v xml:space="preserve">            }</v>
      </c>
    </row>
    <row r="119" spans="2:10" x14ac:dyDescent="0.25">
      <c r="B119" s="39" t="s">
        <v>83</v>
      </c>
      <c r="C119" s="39"/>
      <c r="I119" s="37">
        <f t="shared" ref="I119:I123" si="9">IF(J119&lt;&gt;"",1,0)</f>
        <v>1</v>
      </c>
      <c r="J119" s="3" t="str">
        <f t="shared" si="8"/>
        <v xml:space="preserve">            catch (Exception)</v>
      </c>
    </row>
    <row r="120" spans="2:10" x14ac:dyDescent="0.25">
      <c r="B120" s="39" t="s">
        <v>11</v>
      </c>
      <c r="C120" s="39"/>
      <c r="I120" s="37">
        <f t="shared" si="9"/>
        <v>1</v>
      </c>
      <c r="J120" s="3" t="str">
        <f t="shared" si="8"/>
        <v xml:space="preserve">            {</v>
      </c>
    </row>
    <row r="121" spans="2:10" x14ac:dyDescent="0.25">
      <c r="B121" s="39" t="s">
        <v>118</v>
      </c>
      <c r="C121" s="39"/>
      <c r="I121" s="37">
        <f t="shared" si="9"/>
        <v>1</v>
      </c>
      <c r="J121" s="3" t="str">
        <f t="shared" si="8"/>
        <v xml:space="preserve">                return false;</v>
      </c>
    </row>
    <row r="122" spans="2:10" x14ac:dyDescent="0.25">
      <c r="B122" s="39" t="s">
        <v>12</v>
      </c>
      <c r="C122" s="39"/>
      <c r="I122" s="37">
        <f t="shared" si="9"/>
        <v>1</v>
      </c>
      <c r="J122" s="3" t="str">
        <f t="shared" si="8"/>
        <v xml:space="preserve">            }</v>
      </c>
    </row>
    <row r="123" spans="2:10" x14ac:dyDescent="0.25">
      <c r="B123" s="39" t="s">
        <v>70</v>
      </c>
      <c r="C123" s="39"/>
      <c r="I123" s="37">
        <f t="shared" si="9"/>
        <v>1</v>
      </c>
      <c r="J123" s="3" t="str">
        <f t="shared" si="8"/>
        <v xml:space="preserve">        }</v>
      </c>
    </row>
  </sheetData>
  <sheetProtection sheet="1" objects="1" scenarios="1"/>
  <autoFilter ref="I1:J12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FF00"/>
  </sheetPr>
  <dimension ref="A1:H24"/>
  <sheetViews>
    <sheetView topLeftCell="G1" workbookViewId="0">
      <selection activeCell="K15" sqref="K15"/>
    </sheetView>
  </sheetViews>
  <sheetFormatPr defaultRowHeight="15" x14ac:dyDescent="0.25"/>
  <cols>
    <col min="1" max="6" width="17.28515625" style="27" hidden="1" customWidth="1"/>
    <col min="7" max="7" width="9.85546875" style="27" customWidth="1"/>
    <col min="8" max="8" width="99.85546875" style="27" customWidth="1"/>
    <col min="9" max="16384" width="9.140625" style="27"/>
  </cols>
  <sheetData>
    <row r="1" spans="1:8" x14ac:dyDescent="0.25">
      <c r="G1" s="99"/>
      <c r="H1" s="35" t="s">
        <v>116</v>
      </c>
    </row>
    <row r="2" spans="1:8" x14ac:dyDescent="0.25">
      <c r="A2" s="70" t="s">
        <v>128</v>
      </c>
      <c r="B2" s="71" t="s">
        <v>132</v>
      </c>
      <c r="C2" s="71" t="s">
        <v>133</v>
      </c>
      <c r="D2" s="71" t="str">
        <f>LOWER(D8)</f>
        <v>e_id</v>
      </c>
      <c r="E2" s="71" t="s">
        <v>131</v>
      </c>
      <c r="F2" s="75"/>
      <c r="G2" s="73"/>
      <c r="H2" s="3" t="str">
        <f>CONCATENATE(A2,B2,C2,D2,E2,F2)</f>
        <v xml:space="preserve">        public bool _Excluir (int e_id, string stringConnect)</v>
      </c>
    </row>
    <row r="3" spans="1:8" x14ac:dyDescent="0.25">
      <c r="A3" s="72" t="s">
        <v>69</v>
      </c>
      <c r="B3" s="73"/>
      <c r="C3" s="73"/>
      <c r="D3" s="73"/>
      <c r="E3" s="73"/>
      <c r="F3" s="76"/>
      <c r="G3" s="73"/>
      <c r="H3" s="3" t="str">
        <f t="shared" ref="H3:H24" si="0">CONCATENATE(A3,B3,C3,D3,E3,F3)</f>
        <v xml:space="preserve">        {</v>
      </c>
    </row>
    <row r="4" spans="1:8" x14ac:dyDescent="0.25">
      <c r="A4" s="72" t="s">
        <v>79</v>
      </c>
      <c r="B4" s="73"/>
      <c r="C4" s="73"/>
      <c r="D4" s="73"/>
      <c r="E4" s="73"/>
      <c r="F4" s="76"/>
      <c r="G4" s="73"/>
      <c r="H4" s="3" t="str">
        <f t="shared" si="0"/>
        <v xml:space="preserve">            try</v>
      </c>
    </row>
    <row r="5" spans="1:8" x14ac:dyDescent="0.25">
      <c r="A5" s="72" t="s">
        <v>11</v>
      </c>
      <c r="B5" s="73"/>
      <c r="C5" s="73"/>
      <c r="D5" s="73"/>
      <c r="E5" s="73"/>
      <c r="F5" s="76"/>
      <c r="G5" s="73"/>
      <c r="H5" s="3" t="str">
        <f t="shared" si="0"/>
        <v xml:space="preserve">            {</v>
      </c>
    </row>
    <row r="6" spans="1:8" x14ac:dyDescent="0.25">
      <c r="A6" s="72" t="s">
        <v>130</v>
      </c>
      <c r="B6" s="73"/>
      <c r="C6" s="73"/>
      <c r="D6" s="73"/>
      <c r="E6" s="73"/>
      <c r="F6" s="76"/>
      <c r="G6" s="73"/>
      <c r="H6" s="3" t="str">
        <f t="shared" si="0"/>
        <v xml:space="preserve">            MySqlConnection conexao = new MySqlConnection(stringConnect);</v>
      </c>
    </row>
    <row r="7" spans="1:8" x14ac:dyDescent="0.25">
      <c r="A7" s="72"/>
      <c r="B7" s="73"/>
      <c r="C7" s="73"/>
      <c r="D7" s="73"/>
      <c r="E7" s="73"/>
      <c r="F7" s="76"/>
      <c r="G7" s="73"/>
      <c r="H7" s="3"/>
    </row>
    <row r="8" spans="1:8" x14ac:dyDescent="0.25">
      <c r="A8" s="72" t="s">
        <v>124</v>
      </c>
      <c r="B8" s="73" t="str">
        <f>INICIO!D3</f>
        <v>EmpresaMatriz</v>
      </c>
      <c r="C8" s="73" t="s">
        <v>125</v>
      </c>
      <c r="D8" s="73" t="str">
        <f>INICIO!K10</f>
        <v>E_Id</v>
      </c>
      <c r="E8" s="73" t="str">
        <f>CONCATENATE(" = @",D8)</f>
        <v xml:space="preserve"> = @E_Id</v>
      </c>
      <c r="F8" s="76" t="s">
        <v>126</v>
      </c>
      <c r="G8" s="73"/>
      <c r="H8" s="3" t="str">
        <f t="shared" si="0"/>
        <v xml:space="preserve">                var sql = new MySqlCommand("DELETE FROM EmpresaMatriz WHERE E_Id = @E_Id ", conexao);</v>
      </c>
    </row>
    <row r="9" spans="1:8" x14ac:dyDescent="0.25">
      <c r="A9" s="72" t="s">
        <v>127</v>
      </c>
      <c r="B9" s="73" t="str">
        <f>CONCATENATE("@",D8)</f>
        <v>@E_Id</v>
      </c>
      <c r="C9" s="73" t="s">
        <v>129</v>
      </c>
      <c r="D9" s="73" t="str">
        <f>D2</f>
        <v>e_id</v>
      </c>
      <c r="E9" s="73" t="s">
        <v>1</v>
      </c>
      <c r="F9" s="76"/>
      <c r="G9" s="73"/>
      <c r="H9" s="3" t="str">
        <f t="shared" si="0"/>
        <v xml:space="preserve">                sql.Parameters.AddWithValue("@E_Id", e_id);</v>
      </c>
    </row>
    <row r="10" spans="1:8" x14ac:dyDescent="0.25">
      <c r="A10" s="72" t="s">
        <v>115</v>
      </c>
      <c r="B10" s="73"/>
      <c r="C10" s="73"/>
      <c r="D10" s="73"/>
      <c r="E10" s="73"/>
      <c r="F10" s="76"/>
      <c r="G10" s="73"/>
      <c r="H10" s="3" t="str">
        <f t="shared" si="0"/>
        <v xml:space="preserve">                conexao.Open();</v>
      </c>
    </row>
    <row r="11" spans="1:8" x14ac:dyDescent="0.25">
      <c r="A11" s="72" t="s">
        <v>123</v>
      </c>
      <c r="B11" s="73"/>
      <c r="C11" s="73"/>
      <c r="D11" s="73"/>
      <c r="E11" s="73"/>
      <c r="F11" s="76"/>
      <c r="G11" s="73"/>
      <c r="H11" s="3" t="str">
        <f t="shared" si="0"/>
        <v xml:space="preserve">                sql.ExecuteNonQuery();</v>
      </c>
    </row>
    <row r="12" spans="1:8" x14ac:dyDescent="0.25">
      <c r="A12" s="72" t="s">
        <v>24</v>
      </c>
      <c r="B12" s="73"/>
      <c r="C12" s="73"/>
      <c r="D12" s="73"/>
      <c r="E12" s="73"/>
      <c r="F12" s="76"/>
      <c r="G12" s="73"/>
      <c r="H12" s="3" t="str">
        <f t="shared" si="0"/>
        <v xml:space="preserve">                if (conexao.State == ConnectionState.Open)</v>
      </c>
    </row>
    <row r="13" spans="1:8" x14ac:dyDescent="0.25">
      <c r="A13" s="72" t="s">
        <v>25</v>
      </c>
      <c r="B13" s="73"/>
      <c r="C13" s="73"/>
      <c r="D13" s="73"/>
      <c r="E13" s="73"/>
      <c r="F13" s="76"/>
      <c r="G13" s="73"/>
      <c r="H13" s="3" t="str">
        <f t="shared" si="0"/>
        <v xml:space="preserve">                {</v>
      </c>
    </row>
    <row r="14" spans="1:8" x14ac:dyDescent="0.25">
      <c r="A14" s="72" t="s">
        <v>26</v>
      </c>
      <c r="B14" s="73"/>
      <c r="C14" s="73"/>
      <c r="D14" s="73"/>
      <c r="E14" s="73"/>
      <c r="F14" s="76"/>
      <c r="G14" s="73"/>
      <c r="H14" s="3" t="str">
        <f t="shared" si="0"/>
        <v xml:space="preserve">                    conexao.Close();</v>
      </c>
    </row>
    <row r="15" spans="1:8" x14ac:dyDescent="0.25">
      <c r="A15" s="72" t="s">
        <v>27</v>
      </c>
      <c r="B15" s="73"/>
      <c r="C15" s="73"/>
      <c r="D15" s="73"/>
      <c r="E15" s="73"/>
      <c r="F15" s="76"/>
      <c r="G15" s="73"/>
      <c r="H15" s="3" t="str">
        <f t="shared" si="0"/>
        <v xml:space="preserve">                    conexao.Dispose();</v>
      </c>
    </row>
    <row r="16" spans="1:8" x14ac:dyDescent="0.25">
      <c r="A16" s="72" t="s">
        <v>28</v>
      </c>
      <c r="B16" s="73"/>
      <c r="C16" s="73"/>
      <c r="D16" s="73"/>
      <c r="E16" s="73"/>
      <c r="F16" s="76"/>
      <c r="G16" s="73"/>
      <c r="H16" s="3" t="str">
        <f t="shared" si="0"/>
        <v xml:space="preserve">                }</v>
      </c>
    </row>
    <row r="17" spans="1:8" x14ac:dyDescent="0.25">
      <c r="A17" s="72" t="s">
        <v>29</v>
      </c>
      <c r="B17" s="73"/>
      <c r="C17" s="73"/>
      <c r="D17" s="73"/>
      <c r="E17" s="73"/>
      <c r="F17" s="76"/>
      <c r="G17" s="73"/>
      <c r="H17" s="3" t="str">
        <f t="shared" si="0"/>
        <v xml:space="preserve">                sql.Dispose();</v>
      </c>
    </row>
    <row r="18" spans="1:8" x14ac:dyDescent="0.25">
      <c r="A18" s="72" t="s">
        <v>30</v>
      </c>
      <c r="B18" s="73"/>
      <c r="C18" s="73"/>
      <c r="D18" s="73"/>
      <c r="E18" s="73"/>
      <c r="F18" s="76"/>
      <c r="G18" s="73"/>
      <c r="H18" s="3" t="str">
        <f t="shared" si="0"/>
        <v xml:space="preserve">                return true;</v>
      </c>
    </row>
    <row r="19" spans="1:8" x14ac:dyDescent="0.25">
      <c r="A19" s="72" t="s">
        <v>12</v>
      </c>
      <c r="B19" s="73"/>
      <c r="C19" s="73"/>
      <c r="D19" s="73"/>
      <c r="E19" s="73"/>
      <c r="F19" s="76"/>
      <c r="G19" s="73"/>
      <c r="H19" s="3" t="str">
        <f t="shared" si="0"/>
        <v xml:space="preserve">            }</v>
      </c>
    </row>
    <row r="20" spans="1:8" x14ac:dyDescent="0.25">
      <c r="A20" s="72" t="s">
        <v>83</v>
      </c>
      <c r="B20" s="73"/>
      <c r="C20" s="73"/>
      <c r="D20" s="73"/>
      <c r="E20" s="73"/>
      <c r="F20" s="76"/>
      <c r="G20" s="73"/>
      <c r="H20" s="3" t="str">
        <f t="shared" si="0"/>
        <v xml:space="preserve">            catch (Exception)</v>
      </c>
    </row>
    <row r="21" spans="1:8" x14ac:dyDescent="0.25">
      <c r="A21" s="72" t="s">
        <v>11</v>
      </c>
      <c r="B21" s="73"/>
      <c r="C21" s="73"/>
      <c r="D21" s="73"/>
      <c r="E21" s="73"/>
      <c r="F21" s="76"/>
      <c r="G21" s="73"/>
      <c r="H21" s="3" t="str">
        <f t="shared" si="0"/>
        <v xml:space="preserve">            {</v>
      </c>
    </row>
    <row r="22" spans="1:8" x14ac:dyDescent="0.25">
      <c r="A22" s="72" t="s">
        <v>118</v>
      </c>
      <c r="B22" s="73"/>
      <c r="C22" s="73"/>
      <c r="D22" s="73"/>
      <c r="E22" s="73"/>
      <c r="F22" s="76"/>
      <c r="G22" s="73"/>
      <c r="H22" s="3" t="str">
        <f t="shared" si="0"/>
        <v xml:space="preserve">                return false;</v>
      </c>
    </row>
    <row r="23" spans="1:8" x14ac:dyDescent="0.25">
      <c r="A23" s="72" t="s">
        <v>12</v>
      </c>
      <c r="B23" s="73"/>
      <c r="C23" s="73"/>
      <c r="D23" s="73"/>
      <c r="E23" s="73"/>
      <c r="F23" s="76"/>
      <c r="G23" s="73"/>
      <c r="H23" s="3" t="str">
        <f t="shared" si="0"/>
        <v xml:space="preserve">            }</v>
      </c>
    </row>
    <row r="24" spans="1:8" x14ac:dyDescent="0.25">
      <c r="A24" s="74" t="s">
        <v>70</v>
      </c>
      <c r="B24" s="40"/>
      <c r="C24" s="40"/>
      <c r="D24" s="40"/>
      <c r="E24" s="40"/>
      <c r="F24" s="77"/>
      <c r="G24" s="73"/>
      <c r="H24" s="3" t="str">
        <f t="shared" si="0"/>
        <v xml:space="preserve">        }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 filterMode="1">
    <tabColor rgb="FFFFFF00"/>
  </sheetPr>
  <dimension ref="A1:L236"/>
  <sheetViews>
    <sheetView showGridLines="0" topLeftCell="J1" workbookViewId="0">
      <selection activeCell="K1" sqref="K1:L236"/>
    </sheetView>
  </sheetViews>
  <sheetFormatPr defaultRowHeight="15" x14ac:dyDescent="0.25"/>
  <cols>
    <col min="1" max="1" width="9.140625" hidden="1" customWidth="1"/>
    <col min="2" max="6" width="14.42578125" hidden="1" customWidth="1"/>
    <col min="7" max="8" width="9.28515625" hidden="1" customWidth="1"/>
    <col min="9" max="9" width="2.42578125" hidden="1" customWidth="1"/>
    <col min="10" max="10" width="8.85546875" customWidth="1"/>
    <col min="11" max="11" width="11.28515625" hidden="1" customWidth="1"/>
    <col min="12" max="12" width="97.42578125" customWidth="1"/>
  </cols>
  <sheetData>
    <row r="1" spans="2:12" x14ac:dyDescent="0.25">
      <c r="K1" s="2" t="s">
        <v>117</v>
      </c>
      <c r="L1" s="35" t="s">
        <v>144</v>
      </c>
    </row>
    <row r="2" spans="2:12" x14ac:dyDescent="0.25">
      <c r="B2" t="s">
        <v>134</v>
      </c>
      <c r="C2" t="str">
        <f>INICIO!D5</f>
        <v>Empresa</v>
      </c>
      <c r="D2" t="s">
        <v>135</v>
      </c>
      <c r="K2" s="38">
        <f>IF(L2&lt;&gt;"",1,0)</f>
        <v>1</v>
      </c>
      <c r="L2" s="9" t="str">
        <f t="shared" ref="L2:L3" si="0">CONCATENATE(B2,C2,D2,E2,F2)</f>
        <v xml:space="preserve">        public IList&lt;Empresa&gt; _ListarTodos (string stringConnect)</v>
      </c>
    </row>
    <row r="3" spans="2:12" x14ac:dyDescent="0.25">
      <c r="B3" t="s">
        <v>69</v>
      </c>
      <c r="K3" s="38">
        <f t="shared" ref="K3:K66" si="1">IF(L3&lt;&gt;"",1,0)</f>
        <v>1</v>
      </c>
      <c r="L3" s="9" t="str">
        <f t="shared" si="0"/>
        <v xml:space="preserve">        {</v>
      </c>
    </row>
    <row r="4" spans="2:12" x14ac:dyDescent="0.25">
      <c r="B4" t="s">
        <v>79</v>
      </c>
      <c r="K4" s="38">
        <f t="shared" si="1"/>
        <v>1</v>
      </c>
      <c r="L4" s="9" t="str">
        <f t="shared" ref="L4:L13" si="2">CONCATENATE(B4,C4,D4,E4,F4)</f>
        <v xml:space="preserve">            try</v>
      </c>
    </row>
    <row r="5" spans="2:12" x14ac:dyDescent="0.25">
      <c r="B5" t="s">
        <v>11</v>
      </c>
      <c r="K5" s="38">
        <f t="shared" si="1"/>
        <v>1</v>
      </c>
      <c r="L5" s="9" t="str">
        <f t="shared" si="2"/>
        <v xml:space="preserve">            {</v>
      </c>
    </row>
    <row r="6" spans="2:12" x14ac:dyDescent="0.25">
      <c r="B6" t="s">
        <v>84</v>
      </c>
      <c r="K6" s="38">
        <f t="shared" si="1"/>
        <v>1</v>
      </c>
      <c r="L6" s="9" t="str">
        <f t="shared" si="2"/>
        <v xml:space="preserve">                MySqlConnection conexao = new MySqlConnection(stringConnect);</v>
      </c>
    </row>
    <row r="7" spans="2:12" x14ac:dyDescent="0.25">
      <c r="B7" t="s">
        <v>136</v>
      </c>
      <c r="K7" s="38">
        <f t="shared" si="1"/>
        <v>1</v>
      </c>
      <c r="L7" s="9" t="str">
        <f t="shared" si="2"/>
        <v xml:space="preserve">     </v>
      </c>
    </row>
    <row r="8" spans="2:12" x14ac:dyDescent="0.25">
      <c r="B8" t="s">
        <v>80</v>
      </c>
      <c r="K8" s="38">
        <f t="shared" si="1"/>
        <v>1</v>
      </c>
      <c r="L8" s="9" t="str">
        <f t="shared" si="2"/>
        <v xml:space="preserve">                if (conexao.State == ConnectionState.Closed)</v>
      </c>
    </row>
    <row r="9" spans="2:12" x14ac:dyDescent="0.25">
      <c r="B9" t="s">
        <v>25</v>
      </c>
      <c r="K9" s="38">
        <f t="shared" si="1"/>
        <v>1</v>
      </c>
      <c r="L9" s="9" t="str">
        <f t="shared" si="2"/>
        <v xml:space="preserve">                {</v>
      </c>
    </row>
    <row r="10" spans="2:12" x14ac:dyDescent="0.25">
      <c r="B10" t="s">
        <v>81</v>
      </c>
      <c r="K10" s="38">
        <f t="shared" si="1"/>
        <v>1</v>
      </c>
      <c r="L10" s="9" t="str">
        <f t="shared" si="2"/>
        <v xml:space="preserve">                    conexao.Open();</v>
      </c>
    </row>
    <row r="11" spans="2:12" x14ac:dyDescent="0.25">
      <c r="B11" t="s">
        <v>28</v>
      </c>
      <c r="K11" s="38">
        <f t="shared" si="1"/>
        <v>1</v>
      </c>
      <c r="L11" s="9" t="str">
        <f t="shared" si="2"/>
        <v xml:space="preserve">                }</v>
      </c>
    </row>
    <row r="12" spans="2:12" x14ac:dyDescent="0.25">
      <c r="B12" t="s">
        <v>24</v>
      </c>
      <c r="K12" s="38">
        <f t="shared" si="1"/>
        <v>1</v>
      </c>
      <c r="L12" s="9" t="str">
        <f t="shared" si="2"/>
        <v xml:space="preserve">                if (conexao.State == ConnectionState.Open)</v>
      </c>
    </row>
    <row r="13" spans="2:12" x14ac:dyDescent="0.25">
      <c r="B13" t="s">
        <v>25</v>
      </c>
      <c r="K13" s="38">
        <f t="shared" si="1"/>
        <v>1</v>
      </c>
      <c r="L13" s="9" t="str">
        <f t="shared" si="2"/>
        <v xml:space="preserve">                {</v>
      </c>
    </row>
    <row r="14" spans="2:12" x14ac:dyDescent="0.25">
      <c r="B14" t="s">
        <v>85</v>
      </c>
      <c r="C14" s="1" t="str">
        <f>CONCATENATE(INICIO!D5,"&gt; ")</f>
        <v xml:space="preserve">Empresa&gt; </v>
      </c>
      <c r="D14" s="1" t="str">
        <f>CONCATENATE("Listade",INICIO!D5)</f>
        <v>ListadeEmpresa</v>
      </c>
      <c r="E14" s="27" t="s">
        <v>95</v>
      </c>
      <c r="F14" s="1" t="str">
        <f>CONCATENATE(INICIO!D5,"&gt;();")</f>
        <v>Empresa&gt;();</v>
      </c>
      <c r="K14" s="38">
        <f t="shared" si="1"/>
        <v>1</v>
      </c>
      <c r="L14" s="9" t="str">
        <f>CONCATENATE("                    ",B14,C14,D14,E14,F14)</f>
        <v xml:space="preserve">                    IList&lt;Empresa&gt; ListadeEmpresa = new ObservableCollection&lt;Empresa&gt;();</v>
      </c>
    </row>
    <row r="15" spans="2:12" x14ac:dyDescent="0.25">
      <c r="B15" t="s">
        <v>87</v>
      </c>
      <c r="C15" s="1" t="str">
        <f>INICIO!D3</f>
        <v>EmpresaMatriz</v>
      </c>
      <c r="D15" t="s">
        <v>88</v>
      </c>
      <c r="K15" s="38">
        <f t="shared" si="1"/>
        <v>1</v>
      </c>
      <c r="L15" s="9" t="str">
        <f t="shared" ref="L15:L18" si="3">CONCATENATE("                    ",B15,C15,D15,E15,F15)</f>
        <v xml:space="preserve">                    var sql = new MySqlCommand(" Select * from EmpresaMatriz", conexao);</v>
      </c>
    </row>
    <row r="16" spans="2:12" x14ac:dyDescent="0.25">
      <c r="B16" t="s">
        <v>89</v>
      </c>
      <c r="K16" s="38">
        <f t="shared" si="1"/>
        <v>1</v>
      </c>
      <c r="L16" s="9" t="str">
        <f t="shared" si="3"/>
        <v xml:space="preserve">                    MySqlDataReader MySqlDR = sql.ExecuteReader();</v>
      </c>
    </row>
    <row r="17" spans="1:12" x14ac:dyDescent="0.25">
      <c r="B17" t="s">
        <v>90</v>
      </c>
      <c r="K17" s="38">
        <f t="shared" si="1"/>
        <v>1</v>
      </c>
      <c r="L17" s="9" t="str">
        <f t="shared" si="3"/>
        <v xml:space="preserve">                    while (MySqlDR.Read())</v>
      </c>
    </row>
    <row r="18" spans="1:12" x14ac:dyDescent="0.25">
      <c r="B18" t="s">
        <v>13</v>
      </c>
      <c r="K18" s="38">
        <f t="shared" si="1"/>
        <v>1</v>
      </c>
      <c r="L18" s="9" t="str">
        <f t="shared" si="3"/>
        <v xml:space="preserve">                    {</v>
      </c>
    </row>
    <row r="19" spans="1:12" x14ac:dyDescent="0.25">
      <c r="B19" s="1" t="str">
        <f>INICIO!D5</f>
        <v>Empresa</v>
      </c>
      <c r="C19" s="1" t="str">
        <f>CONCATENATE(" _",LOWER(B19))</f>
        <v xml:space="preserve"> _empresa</v>
      </c>
      <c r="D19" t="s">
        <v>91</v>
      </c>
      <c r="E19" s="1" t="str">
        <f>B19</f>
        <v>Empresa</v>
      </c>
      <c r="F19" t="s">
        <v>92</v>
      </c>
      <c r="K19" s="38">
        <f t="shared" si="1"/>
        <v>1</v>
      </c>
      <c r="L19" s="9" t="str">
        <f>CONCATENATE("                        ",B19,C19,D19,E19,F19)</f>
        <v xml:space="preserve">                        Empresa _empresa = new Empresa();</v>
      </c>
    </row>
    <row r="20" spans="1:12" s="4" customFormat="1" x14ac:dyDescent="0.25">
      <c r="B20" s="4" t="s">
        <v>120</v>
      </c>
      <c r="K20" s="38">
        <f t="shared" si="1"/>
        <v>1</v>
      </c>
      <c r="L20" s="9" t="str">
        <f>CONCATENATE("                        ",B20,C20,D20,E20,F20)</f>
        <v xml:space="preserve">                        // Propriedades da Classe</v>
      </c>
    </row>
    <row r="21" spans="1:12" x14ac:dyDescent="0.25">
      <c r="A21" s="24">
        <v>1</v>
      </c>
      <c r="B21" s="21" t="s">
        <v>93</v>
      </c>
      <c r="C21" s="25" t="str">
        <f>LOOKUP(A21,INICIO!A$10:A$109,INICIO!K$10:K$109)</f>
        <v>E_Id</v>
      </c>
      <c r="D21" s="22" t="s">
        <v>94</v>
      </c>
      <c r="E21" s="22"/>
      <c r="F21" s="22"/>
      <c r="G21" s="22"/>
      <c r="H21" s="34">
        <f>LOOKUP(A21,INICIO!A$10:A$109,INICIO!J$10:J$109)</f>
        <v>1</v>
      </c>
      <c r="K21" s="38">
        <f t="shared" si="1"/>
        <v>1</v>
      </c>
      <c r="L21" s="9" t="str">
        <f>IF(H21,CONCATENATE("                        ",B21,C21,D21),"")</f>
        <v xml:space="preserve">                        if (MySqlDR["E_Id"] != DBNull.Value)</v>
      </c>
    </row>
    <row r="22" spans="1:12" x14ac:dyDescent="0.25">
      <c r="A22" s="28">
        <f>LOOKUP(A21,INICIO!A$10:A$109,INICIO!C$10:C$109)</f>
        <v>2</v>
      </c>
      <c r="B22" s="31" t="str">
        <f t="shared" ref="B22:B84" si="4">CONCATENATE(C$19,".",C21," = ")</f>
        <v xml:space="preserve"> _empresa.E_Id = </v>
      </c>
      <c r="C22" s="23" t="str">
        <f t="shared" ref="C22" si="5">SUBSTITUTE(E22,"???",CONCATENATE(F22,G22,H22))</f>
        <v xml:space="preserve"> Convert.ToInt32(MySqlDR["E_Id"])</v>
      </c>
      <c r="D22" s="23" t="s">
        <v>72</v>
      </c>
      <c r="E22" s="26" t="str">
        <f>LOOKUP(LISTAR!A22,AJUSTE!B:B,AJUSTE!F:F)</f>
        <v xml:space="preserve"> Convert.ToInt32(???)</v>
      </c>
      <c r="F22" s="30" t="s">
        <v>98</v>
      </c>
      <c r="G22" s="26" t="str">
        <f t="shared" ref="G22" si="6">C21</f>
        <v>E_Id</v>
      </c>
      <c r="H22" s="32" t="s">
        <v>99</v>
      </c>
      <c r="K22" s="38">
        <f t="shared" si="1"/>
        <v>1</v>
      </c>
      <c r="L22" s="9" t="str">
        <f>IF(H21,CONCATENATE("                            ",B22,C22,D22),"")</f>
        <v xml:space="preserve">                             _empresa.E_Id =  Convert.ToInt32(MySqlDR["E_Id"]);</v>
      </c>
    </row>
    <row r="23" spans="1:12" x14ac:dyDescent="0.25">
      <c r="A23" s="24">
        <v>2</v>
      </c>
      <c r="B23" s="21" t="s">
        <v>93</v>
      </c>
      <c r="C23" s="25" t="str">
        <f>LOOKUP(A23,INICIO!A$10:A$109,INICIO!K$10:K$109)</f>
        <v>E_RazaoSocial</v>
      </c>
      <c r="D23" s="22" t="s">
        <v>94</v>
      </c>
      <c r="E23" s="22"/>
      <c r="F23" s="22"/>
      <c r="G23" s="22"/>
      <c r="H23" s="34">
        <f>LOOKUP(A23,INICIO!A$10:A$109,INICIO!J$10:J$109)</f>
        <v>1</v>
      </c>
      <c r="K23" s="38">
        <f t="shared" si="1"/>
        <v>1</v>
      </c>
      <c r="L23" s="9" t="str">
        <f t="shared" ref="L23" si="7">IF(H23,CONCATENATE("                        ",B23,C23,D23),"")</f>
        <v xml:space="preserve">                        if (MySqlDR["E_RazaoSocial"] != DBNull.Value)</v>
      </c>
    </row>
    <row r="24" spans="1:12" x14ac:dyDescent="0.25">
      <c r="A24" s="28">
        <f>LOOKUP(A23,INICIO!A$10:A$109,INICIO!C$10:C$109)</f>
        <v>1</v>
      </c>
      <c r="B24" s="31" t="str">
        <f t="shared" si="4"/>
        <v xml:space="preserve"> _empresa.E_RazaoSocial = </v>
      </c>
      <c r="C24" s="23" t="str">
        <f t="shared" ref="C24" si="8">SUBSTITUTE(E24,"???",CONCATENATE(F24,G24,H24))</f>
        <v>MySqlDR["E_RazaoSocial"].ToString()</v>
      </c>
      <c r="D24" s="23" t="s">
        <v>72</v>
      </c>
      <c r="E24" s="26" t="str">
        <f>LOOKUP(LISTAR!A24,AJUSTE!B:B,AJUSTE!F:F)</f>
        <v>???.ToString()</v>
      </c>
      <c r="F24" s="30" t="s">
        <v>98</v>
      </c>
      <c r="G24" s="26" t="str">
        <f t="shared" ref="G24" si="9">C23</f>
        <v>E_RazaoSocial</v>
      </c>
      <c r="H24" s="32" t="s">
        <v>99</v>
      </c>
      <c r="K24" s="38">
        <f t="shared" si="1"/>
        <v>1</v>
      </c>
      <c r="L24" s="9" t="str">
        <f t="shared" ref="L24" si="10">IF(H23,CONCATENATE("                            ",B24,C24,D24),"")</f>
        <v xml:space="preserve">                             _empresa.E_RazaoSocial = MySqlDR["E_RazaoSocial"].ToString();</v>
      </c>
    </row>
    <row r="25" spans="1:12" x14ac:dyDescent="0.25">
      <c r="A25" s="24">
        <v>3</v>
      </c>
      <c r="B25" s="21" t="s">
        <v>93</v>
      </c>
      <c r="C25" s="25" t="str">
        <f>LOOKUP(A25,INICIO!A$10:A$109,INICIO!K$10:K$109)</f>
        <v>E_CNPJ</v>
      </c>
      <c r="D25" s="22" t="s">
        <v>94</v>
      </c>
      <c r="E25" s="22"/>
      <c r="F25" s="22"/>
      <c r="G25" s="22"/>
      <c r="H25" s="34">
        <f>LOOKUP(A25,INICIO!A$10:A$109,INICIO!J$10:J$109)</f>
        <v>1</v>
      </c>
      <c r="K25" s="38">
        <f t="shared" si="1"/>
        <v>1</v>
      </c>
      <c r="L25" s="9" t="str">
        <f t="shared" ref="L25" si="11">IF(H25,CONCATENATE("                        ",B25,C25,D25),"")</f>
        <v xml:space="preserve">                        if (MySqlDR["E_CNPJ"] != DBNull.Value)</v>
      </c>
    </row>
    <row r="26" spans="1:12" x14ac:dyDescent="0.25">
      <c r="A26" s="28">
        <f>LOOKUP(A25,INICIO!A$10:A$109,INICIO!C$10:C$109)</f>
        <v>1</v>
      </c>
      <c r="B26" s="31" t="str">
        <f t="shared" si="4"/>
        <v xml:space="preserve"> _empresa.E_CNPJ = </v>
      </c>
      <c r="C26" s="23" t="str">
        <f t="shared" ref="C26" si="12">SUBSTITUTE(E26,"???",CONCATENATE(F26,G26,H26))</f>
        <v>MySqlDR["E_CNPJ"].ToString()</v>
      </c>
      <c r="D26" s="23" t="s">
        <v>72</v>
      </c>
      <c r="E26" s="26" t="str">
        <f>LOOKUP(LISTAR!A26,AJUSTE!B:B,AJUSTE!F:F)</f>
        <v>???.ToString()</v>
      </c>
      <c r="F26" s="30" t="s">
        <v>98</v>
      </c>
      <c r="G26" s="26" t="str">
        <f t="shared" ref="G26" si="13">C25</f>
        <v>E_CNPJ</v>
      </c>
      <c r="H26" s="32" t="s">
        <v>99</v>
      </c>
      <c r="K26" s="38">
        <f t="shared" si="1"/>
        <v>1</v>
      </c>
      <c r="L26" s="9" t="str">
        <f t="shared" ref="L26" si="14">IF(H25,CONCATENATE("                            ",B26,C26,D26),"")</f>
        <v xml:space="preserve">                             _empresa.E_CNPJ = MySqlDR["E_CNPJ"].ToString();</v>
      </c>
    </row>
    <row r="27" spans="1:12" x14ac:dyDescent="0.25">
      <c r="A27" s="24">
        <v>4</v>
      </c>
      <c r="B27" s="21" t="s">
        <v>93</v>
      </c>
      <c r="C27" s="25" t="str">
        <f>LOOKUP(A27,INICIO!A$10:A$109,INICIO!K$10:K$109)</f>
        <v>E_IE</v>
      </c>
      <c r="D27" s="22" t="s">
        <v>94</v>
      </c>
      <c r="E27" s="22"/>
      <c r="F27" s="22"/>
      <c r="G27" s="22"/>
      <c r="H27" s="34">
        <f>LOOKUP(A27,INICIO!A$10:A$109,INICIO!J$10:J$109)</f>
        <v>1</v>
      </c>
      <c r="K27" s="38">
        <f t="shared" si="1"/>
        <v>1</v>
      </c>
      <c r="L27" s="9" t="str">
        <f t="shared" ref="L27" si="15">IF(H27,CONCATENATE("                        ",B27,C27,D27),"")</f>
        <v xml:space="preserve">                        if (MySqlDR["E_IE"] != DBNull.Value)</v>
      </c>
    </row>
    <row r="28" spans="1:12" x14ac:dyDescent="0.25">
      <c r="A28" s="28">
        <f>LOOKUP(A27,INICIO!A$10:A$109,INICIO!C$10:C$109)</f>
        <v>1</v>
      </c>
      <c r="B28" s="31" t="str">
        <f t="shared" si="4"/>
        <v xml:space="preserve"> _empresa.E_IE = </v>
      </c>
      <c r="C28" s="23" t="str">
        <f t="shared" ref="C28" si="16">SUBSTITUTE(E28,"???",CONCATENATE(F28,G28,H28))</f>
        <v>MySqlDR["E_IE"].ToString()</v>
      </c>
      <c r="D28" s="23" t="s">
        <v>72</v>
      </c>
      <c r="E28" s="26" t="str">
        <f>LOOKUP(LISTAR!A28,AJUSTE!B:B,AJUSTE!F:F)</f>
        <v>???.ToString()</v>
      </c>
      <c r="F28" s="30" t="s">
        <v>98</v>
      </c>
      <c r="G28" s="26" t="str">
        <f t="shared" ref="G28" si="17">C27</f>
        <v>E_IE</v>
      </c>
      <c r="H28" s="32" t="s">
        <v>99</v>
      </c>
      <c r="K28" s="38">
        <f t="shared" si="1"/>
        <v>1</v>
      </c>
      <c r="L28" s="9" t="str">
        <f t="shared" ref="L28" si="18">IF(H27,CONCATENATE("                            ",B28,C28,D28),"")</f>
        <v xml:space="preserve">                             _empresa.E_IE = MySqlDR["E_IE"].ToString();</v>
      </c>
    </row>
    <row r="29" spans="1:12" x14ac:dyDescent="0.25">
      <c r="A29" s="24">
        <v>5</v>
      </c>
      <c r="B29" s="21" t="s">
        <v>93</v>
      </c>
      <c r="C29" s="25" t="str">
        <f>LOOKUP(A29,INICIO!A$10:A$109,INICIO!K$10:K$109)</f>
        <v>E_Endereco</v>
      </c>
      <c r="D29" s="22" t="s">
        <v>94</v>
      </c>
      <c r="E29" s="22"/>
      <c r="F29" s="22"/>
      <c r="G29" s="22"/>
      <c r="H29" s="34">
        <f>LOOKUP(A29,INICIO!A$10:A$109,INICIO!J$10:J$109)</f>
        <v>1</v>
      </c>
      <c r="K29" s="38">
        <f t="shared" si="1"/>
        <v>1</v>
      </c>
      <c r="L29" s="9" t="str">
        <f t="shared" ref="L29" si="19">IF(H29,CONCATENATE("                        ",B29,C29,D29),"")</f>
        <v xml:space="preserve">                        if (MySqlDR["E_Endereco"] != DBNull.Value)</v>
      </c>
    </row>
    <row r="30" spans="1:12" x14ac:dyDescent="0.25">
      <c r="A30" s="28">
        <f>LOOKUP(A29,INICIO!A$10:A$109,INICIO!C$10:C$109)</f>
        <v>1</v>
      </c>
      <c r="B30" s="31" t="str">
        <f t="shared" si="4"/>
        <v xml:space="preserve"> _empresa.E_Endereco = </v>
      </c>
      <c r="C30" s="23" t="str">
        <f t="shared" ref="C30" si="20">SUBSTITUTE(E30,"???",CONCATENATE(F30,G30,H30))</f>
        <v>MySqlDR["E_Endereco"].ToString()</v>
      </c>
      <c r="D30" s="23" t="s">
        <v>72</v>
      </c>
      <c r="E30" s="26" t="str">
        <f>LOOKUP(LISTAR!A30,AJUSTE!B:B,AJUSTE!F:F)</f>
        <v>???.ToString()</v>
      </c>
      <c r="F30" s="30" t="s">
        <v>98</v>
      </c>
      <c r="G30" s="26" t="str">
        <f t="shared" ref="G30" si="21">C29</f>
        <v>E_Endereco</v>
      </c>
      <c r="H30" s="32" t="s">
        <v>99</v>
      </c>
      <c r="K30" s="38">
        <f t="shared" si="1"/>
        <v>1</v>
      </c>
      <c r="L30" s="9" t="str">
        <f t="shared" ref="L30" si="22">IF(H29,CONCATENATE("                            ",B30,C30,D30),"")</f>
        <v xml:space="preserve">                             _empresa.E_Endereco = MySqlDR["E_Endereco"].ToString();</v>
      </c>
    </row>
    <row r="31" spans="1:12" x14ac:dyDescent="0.25">
      <c r="A31" s="24">
        <v>6</v>
      </c>
      <c r="B31" s="21" t="s">
        <v>93</v>
      </c>
      <c r="C31" s="25" t="str">
        <f>LOOKUP(A31,INICIO!A$10:A$109,INICIO!K$10:K$109)</f>
        <v>E_Complemento</v>
      </c>
      <c r="D31" s="22" t="s">
        <v>94</v>
      </c>
      <c r="E31" s="22"/>
      <c r="F31" s="22"/>
      <c r="G31" s="22"/>
      <c r="H31" s="34">
        <f>LOOKUP(A31,INICIO!A$10:A$109,INICIO!J$10:J$109)</f>
        <v>1</v>
      </c>
      <c r="K31" s="38">
        <f t="shared" si="1"/>
        <v>1</v>
      </c>
      <c r="L31" s="9" t="str">
        <f t="shared" ref="L31" si="23">IF(H31,CONCATENATE("                        ",B31,C31,D31),"")</f>
        <v xml:space="preserve">                        if (MySqlDR["E_Complemento"] != DBNull.Value)</v>
      </c>
    </row>
    <row r="32" spans="1:12" x14ac:dyDescent="0.25">
      <c r="A32" s="28">
        <f>LOOKUP(A31,INICIO!A$10:A$109,INICIO!C$10:C$109)</f>
        <v>1</v>
      </c>
      <c r="B32" s="31" t="str">
        <f t="shared" si="4"/>
        <v xml:space="preserve"> _empresa.E_Complemento = </v>
      </c>
      <c r="C32" s="23" t="str">
        <f t="shared" ref="C32" si="24">SUBSTITUTE(E32,"???",CONCATENATE(F32,G32,H32))</f>
        <v>MySqlDR["E_Complemento"].ToString()</v>
      </c>
      <c r="D32" s="23" t="s">
        <v>72</v>
      </c>
      <c r="E32" s="26" t="str">
        <f>LOOKUP(LISTAR!A32,AJUSTE!B:B,AJUSTE!F:F)</f>
        <v>???.ToString()</v>
      </c>
      <c r="F32" s="30" t="s">
        <v>98</v>
      </c>
      <c r="G32" s="26" t="str">
        <f t="shared" ref="G32" si="25">C31</f>
        <v>E_Complemento</v>
      </c>
      <c r="H32" s="32" t="s">
        <v>99</v>
      </c>
      <c r="K32" s="38">
        <f t="shared" si="1"/>
        <v>1</v>
      </c>
      <c r="L32" s="9" t="str">
        <f t="shared" ref="L32" si="26">IF(H31,CONCATENATE("                            ",B32,C32,D32),"")</f>
        <v xml:space="preserve">                             _empresa.E_Complemento = MySqlDR["E_Complemento"].ToString();</v>
      </c>
    </row>
    <row r="33" spans="1:12" x14ac:dyDescent="0.25">
      <c r="A33" s="24">
        <v>7</v>
      </c>
      <c r="B33" s="21" t="s">
        <v>93</v>
      </c>
      <c r="C33" s="25" t="str">
        <f>LOOKUP(A33,INICIO!A$10:A$109,INICIO!K$10:K$109)</f>
        <v>E_Estado</v>
      </c>
      <c r="D33" s="22" t="s">
        <v>94</v>
      </c>
      <c r="E33" s="22"/>
      <c r="F33" s="22"/>
      <c r="G33" s="22"/>
      <c r="H33" s="34">
        <f>LOOKUP(A33,INICIO!A$10:A$109,INICIO!J$10:J$109)</f>
        <v>1</v>
      </c>
      <c r="K33" s="38">
        <f t="shared" si="1"/>
        <v>1</v>
      </c>
      <c r="L33" s="9" t="str">
        <f t="shared" ref="L33" si="27">IF(H33,CONCATENATE("                        ",B33,C33,D33),"")</f>
        <v xml:space="preserve">                        if (MySqlDR["E_Estado"] != DBNull.Value)</v>
      </c>
    </row>
    <row r="34" spans="1:12" x14ac:dyDescent="0.25">
      <c r="A34" s="28">
        <f>LOOKUP(A33,INICIO!A$10:A$109,INICIO!C$10:C$109)</f>
        <v>1</v>
      </c>
      <c r="B34" s="31" t="str">
        <f t="shared" si="4"/>
        <v xml:space="preserve"> _empresa.E_Estado = </v>
      </c>
      <c r="C34" s="23" t="str">
        <f t="shared" ref="C34" si="28">SUBSTITUTE(E34,"???",CONCATENATE(F34,G34,H34))</f>
        <v>MySqlDR["E_Estado"].ToString()</v>
      </c>
      <c r="D34" s="23" t="s">
        <v>72</v>
      </c>
      <c r="E34" s="26" t="str">
        <f>LOOKUP(LISTAR!A34,AJUSTE!B:B,AJUSTE!F:F)</f>
        <v>???.ToString()</v>
      </c>
      <c r="F34" s="30" t="s">
        <v>98</v>
      </c>
      <c r="G34" s="26" t="str">
        <f t="shared" ref="G34" si="29">C33</f>
        <v>E_Estado</v>
      </c>
      <c r="H34" s="32" t="s">
        <v>99</v>
      </c>
      <c r="K34" s="38">
        <f t="shared" si="1"/>
        <v>1</v>
      </c>
      <c r="L34" s="9" t="str">
        <f t="shared" ref="L34" si="30">IF(H33,CONCATENATE("                            ",B34,C34,D34),"")</f>
        <v xml:space="preserve">                             _empresa.E_Estado = MySqlDR["E_Estado"].ToString();</v>
      </c>
    </row>
    <row r="35" spans="1:12" x14ac:dyDescent="0.25">
      <c r="A35" s="24">
        <v>8</v>
      </c>
      <c r="B35" s="21" t="s">
        <v>93</v>
      </c>
      <c r="C35" s="25" t="str">
        <f>LOOKUP(A35,INICIO!A$10:A$109,INICIO!K$10:K$109)</f>
        <v>E_Telefone</v>
      </c>
      <c r="D35" s="22" t="s">
        <v>94</v>
      </c>
      <c r="E35" s="22"/>
      <c r="F35" s="22"/>
      <c r="G35" s="22"/>
      <c r="H35" s="34">
        <f>LOOKUP(A35,INICIO!A$10:A$109,INICIO!J$10:J$109)</f>
        <v>1</v>
      </c>
      <c r="K35" s="38">
        <f t="shared" si="1"/>
        <v>1</v>
      </c>
      <c r="L35" s="9" t="str">
        <f t="shared" ref="L35" si="31">IF(H35,CONCATENATE("                        ",B35,C35,D35),"")</f>
        <v xml:space="preserve">                        if (MySqlDR["E_Telefone"] != DBNull.Value)</v>
      </c>
    </row>
    <row r="36" spans="1:12" x14ac:dyDescent="0.25">
      <c r="A36" s="28">
        <f>LOOKUP(A35,INICIO!A$10:A$109,INICIO!C$10:C$109)</f>
        <v>1</v>
      </c>
      <c r="B36" s="31" t="str">
        <f t="shared" si="4"/>
        <v xml:space="preserve"> _empresa.E_Telefone = </v>
      </c>
      <c r="C36" s="23" t="str">
        <f t="shared" ref="C36" si="32">SUBSTITUTE(E36,"???",CONCATENATE(F36,G36,H36))</f>
        <v>MySqlDR["E_Telefone"].ToString()</v>
      </c>
      <c r="D36" s="23" t="s">
        <v>72</v>
      </c>
      <c r="E36" s="26" t="str">
        <f>LOOKUP(LISTAR!A36,AJUSTE!B:B,AJUSTE!F:F)</f>
        <v>???.ToString()</v>
      </c>
      <c r="F36" s="30" t="s">
        <v>98</v>
      </c>
      <c r="G36" s="26" t="str">
        <f t="shared" ref="G36" si="33">C35</f>
        <v>E_Telefone</v>
      </c>
      <c r="H36" s="32" t="s">
        <v>99</v>
      </c>
      <c r="K36" s="38">
        <f t="shared" si="1"/>
        <v>1</v>
      </c>
      <c r="L36" s="9" t="str">
        <f t="shared" ref="L36" si="34">IF(H35,CONCATENATE("                            ",B36,C36,D36),"")</f>
        <v xml:space="preserve">                             _empresa.E_Telefone = MySqlDR["E_Telefone"].ToString();</v>
      </c>
    </row>
    <row r="37" spans="1:12" x14ac:dyDescent="0.25">
      <c r="A37" s="24">
        <v>9</v>
      </c>
      <c r="B37" s="21" t="s">
        <v>93</v>
      </c>
      <c r="C37" s="25" t="str">
        <f>LOOKUP(A37,INICIO!A$10:A$109,INICIO!K$10:K$109)</f>
        <v>E_Email</v>
      </c>
      <c r="D37" s="22" t="s">
        <v>94</v>
      </c>
      <c r="E37" s="22"/>
      <c r="F37" s="22"/>
      <c r="G37" s="22"/>
      <c r="H37" s="34">
        <f>LOOKUP(A37,INICIO!A$10:A$109,INICIO!J$10:J$109)</f>
        <v>1</v>
      </c>
      <c r="K37" s="38">
        <f t="shared" si="1"/>
        <v>1</v>
      </c>
      <c r="L37" s="9" t="str">
        <f t="shared" ref="L37" si="35">IF(H37,CONCATENATE("                        ",B37,C37,D37),"")</f>
        <v xml:space="preserve">                        if (MySqlDR["E_Email"] != DBNull.Value)</v>
      </c>
    </row>
    <row r="38" spans="1:12" x14ac:dyDescent="0.25">
      <c r="A38" s="28">
        <f>LOOKUP(A37,INICIO!A$10:A$109,INICIO!C$10:C$109)</f>
        <v>1</v>
      </c>
      <c r="B38" s="31" t="str">
        <f t="shared" si="4"/>
        <v xml:space="preserve"> _empresa.E_Email = </v>
      </c>
      <c r="C38" s="23" t="str">
        <f t="shared" ref="C38" si="36">SUBSTITUTE(E38,"???",CONCATENATE(F38,G38,H38))</f>
        <v>MySqlDR["E_Email"].ToString()</v>
      </c>
      <c r="D38" s="23" t="s">
        <v>72</v>
      </c>
      <c r="E38" s="26" t="str">
        <f>LOOKUP(LISTAR!A38,AJUSTE!B:B,AJUSTE!F:F)</f>
        <v>???.ToString()</v>
      </c>
      <c r="F38" s="30" t="s">
        <v>98</v>
      </c>
      <c r="G38" s="26" t="str">
        <f t="shared" ref="G38" si="37">C37</f>
        <v>E_Email</v>
      </c>
      <c r="H38" s="32" t="s">
        <v>99</v>
      </c>
      <c r="K38" s="38">
        <f t="shared" si="1"/>
        <v>1</v>
      </c>
      <c r="L38" s="9" t="str">
        <f t="shared" ref="L38" si="38">IF(H37,CONCATENATE("                            ",B38,C38,D38),"")</f>
        <v xml:space="preserve">                             _empresa.E_Email = MySqlDR["E_Email"].ToString();</v>
      </c>
    </row>
    <row r="39" spans="1:12" hidden="1" x14ac:dyDescent="0.25">
      <c r="A39" s="24">
        <v>10</v>
      </c>
      <c r="B39" s="21" t="s">
        <v>93</v>
      </c>
      <c r="C39" s="25" t="str">
        <f>LOOKUP(A39,INICIO!A$10:A$109,INICIO!K$10:K$109)</f>
        <v/>
      </c>
      <c r="D39" s="22" t="s">
        <v>94</v>
      </c>
      <c r="E39" s="22"/>
      <c r="F39" s="22"/>
      <c r="G39" s="22"/>
      <c r="H39" s="34">
        <f>LOOKUP(A39,INICIO!A$10:A$109,INICIO!J$10:J$109)</f>
        <v>0</v>
      </c>
      <c r="K39" s="38">
        <f t="shared" si="1"/>
        <v>0</v>
      </c>
      <c r="L39" s="9" t="str">
        <f t="shared" ref="L39" si="39">IF(H39,CONCATENATE("                        ",B39,C39,D39),"")</f>
        <v/>
      </c>
    </row>
    <row r="40" spans="1:12" hidden="1" x14ac:dyDescent="0.25">
      <c r="A40" s="28">
        <f>LOOKUP(A39,INICIO!A$10:A$109,INICIO!C$10:C$109)</f>
        <v>30</v>
      </c>
      <c r="B40" s="31" t="str">
        <f t="shared" si="4"/>
        <v xml:space="preserve"> _empresa. = </v>
      </c>
      <c r="C40" s="23" t="str">
        <f t="shared" ref="C40" si="40">SUBSTITUTE(E40,"???",CONCATENATE(F40,G40,H40))</f>
        <v>0</v>
      </c>
      <c r="D40" s="23" t="s">
        <v>72</v>
      </c>
      <c r="E40" s="26">
        <f>LOOKUP(LISTAR!A40,AJUSTE!B:B,AJUSTE!F:F)</f>
        <v>0</v>
      </c>
      <c r="F40" s="30" t="s">
        <v>98</v>
      </c>
      <c r="G40" s="26" t="str">
        <f t="shared" ref="G40" si="41">C39</f>
        <v/>
      </c>
      <c r="H40" s="32" t="s">
        <v>99</v>
      </c>
      <c r="K40" s="38">
        <f t="shared" si="1"/>
        <v>0</v>
      </c>
      <c r="L40" s="9" t="str">
        <f t="shared" ref="L40" si="42">IF(H39,CONCATENATE("                            ",B40,C40,D40),"")</f>
        <v/>
      </c>
    </row>
    <row r="41" spans="1:12" hidden="1" x14ac:dyDescent="0.25">
      <c r="A41" s="24">
        <v>11</v>
      </c>
      <c r="B41" s="21" t="s">
        <v>93</v>
      </c>
      <c r="C41" s="25" t="str">
        <f>LOOKUP(A41,INICIO!A$10:A$109,INICIO!K$10:K$109)</f>
        <v/>
      </c>
      <c r="D41" s="22" t="s">
        <v>94</v>
      </c>
      <c r="E41" s="22"/>
      <c r="F41" s="22"/>
      <c r="G41" s="22"/>
      <c r="H41" s="34">
        <f>LOOKUP(A41,INICIO!A$10:A$109,INICIO!J$10:J$109)</f>
        <v>0</v>
      </c>
      <c r="K41" s="38">
        <f t="shared" si="1"/>
        <v>0</v>
      </c>
      <c r="L41" s="9" t="str">
        <f t="shared" ref="L41" si="43">IF(H41,CONCATENATE("                        ",B41,C41,D41),"")</f>
        <v/>
      </c>
    </row>
    <row r="42" spans="1:12" hidden="1" x14ac:dyDescent="0.25">
      <c r="A42" s="28">
        <f>LOOKUP(A41,INICIO!A$10:A$109,INICIO!C$10:C$109)</f>
        <v>30</v>
      </c>
      <c r="B42" s="31" t="str">
        <f t="shared" si="4"/>
        <v xml:space="preserve"> _empresa. = </v>
      </c>
      <c r="C42" s="23" t="str">
        <f t="shared" ref="C42" si="44">SUBSTITUTE(E42,"???",CONCATENATE(F42,G42,H42))</f>
        <v>0</v>
      </c>
      <c r="D42" s="23" t="s">
        <v>72</v>
      </c>
      <c r="E42" s="26">
        <f>LOOKUP(LISTAR!A42,AJUSTE!B:B,AJUSTE!F:F)</f>
        <v>0</v>
      </c>
      <c r="F42" s="30" t="s">
        <v>98</v>
      </c>
      <c r="G42" s="26" t="str">
        <f t="shared" ref="G42" si="45">C41</f>
        <v/>
      </c>
      <c r="H42" s="32" t="s">
        <v>99</v>
      </c>
      <c r="K42" s="38">
        <f t="shared" si="1"/>
        <v>0</v>
      </c>
      <c r="L42" s="9" t="str">
        <f t="shared" ref="L42" si="46">IF(H41,CONCATENATE("                            ",B42,C42,D42),"")</f>
        <v/>
      </c>
    </row>
    <row r="43" spans="1:12" hidden="1" x14ac:dyDescent="0.25">
      <c r="A43" s="24">
        <v>12</v>
      </c>
      <c r="B43" s="21" t="s">
        <v>93</v>
      </c>
      <c r="C43" s="25" t="str">
        <f>LOOKUP(A43,INICIO!A$10:A$109,INICIO!K$10:K$109)</f>
        <v/>
      </c>
      <c r="D43" s="22" t="s">
        <v>94</v>
      </c>
      <c r="E43" s="22"/>
      <c r="F43" s="22"/>
      <c r="G43" s="22"/>
      <c r="H43" s="34">
        <f>LOOKUP(A43,INICIO!A$10:A$109,INICIO!J$10:J$109)</f>
        <v>0</v>
      </c>
      <c r="K43" s="38">
        <f t="shared" si="1"/>
        <v>0</v>
      </c>
      <c r="L43" s="9" t="str">
        <f t="shared" ref="L43" si="47">IF(H43,CONCATENATE("                        ",B43,C43,D43),"")</f>
        <v/>
      </c>
    </row>
    <row r="44" spans="1:12" hidden="1" x14ac:dyDescent="0.25">
      <c r="A44" s="28">
        <f>LOOKUP(A43,INICIO!A$10:A$109,INICIO!C$10:C$109)</f>
        <v>30</v>
      </c>
      <c r="B44" s="31" t="str">
        <f t="shared" si="4"/>
        <v xml:space="preserve"> _empresa. = </v>
      </c>
      <c r="C44" s="23" t="str">
        <f t="shared" ref="C44" si="48">SUBSTITUTE(E44,"???",CONCATENATE(F44,G44,H44))</f>
        <v>0</v>
      </c>
      <c r="D44" s="23" t="s">
        <v>72</v>
      </c>
      <c r="E44" s="26">
        <f>LOOKUP(LISTAR!A44,AJUSTE!B:B,AJUSTE!F:F)</f>
        <v>0</v>
      </c>
      <c r="F44" s="30" t="s">
        <v>98</v>
      </c>
      <c r="G44" s="26" t="str">
        <f t="shared" ref="G44" si="49">C43</f>
        <v/>
      </c>
      <c r="H44" s="32" t="s">
        <v>99</v>
      </c>
      <c r="K44" s="38">
        <f t="shared" si="1"/>
        <v>0</v>
      </c>
      <c r="L44" s="9" t="str">
        <f t="shared" ref="L44" si="50">IF(H43,CONCATENATE("                            ",B44,C44,D44),"")</f>
        <v/>
      </c>
    </row>
    <row r="45" spans="1:12" hidden="1" x14ac:dyDescent="0.25">
      <c r="A45" s="24">
        <v>13</v>
      </c>
      <c r="B45" s="21" t="s">
        <v>93</v>
      </c>
      <c r="C45" s="25" t="str">
        <f>LOOKUP(A45,INICIO!A$10:A$109,INICIO!K$10:K$109)</f>
        <v/>
      </c>
      <c r="D45" s="22" t="s">
        <v>94</v>
      </c>
      <c r="E45" s="22"/>
      <c r="F45" s="22"/>
      <c r="G45" s="22"/>
      <c r="H45" s="34">
        <f>LOOKUP(A45,INICIO!A$10:A$109,INICIO!J$10:J$109)</f>
        <v>0</v>
      </c>
      <c r="K45" s="38">
        <f t="shared" si="1"/>
        <v>0</v>
      </c>
      <c r="L45" s="9" t="str">
        <f t="shared" ref="L45" si="51">IF(H45,CONCATENATE("                        ",B45,C45,D45),"")</f>
        <v/>
      </c>
    </row>
    <row r="46" spans="1:12" hidden="1" x14ac:dyDescent="0.25">
      <c r="A46" s="28">
        <f>LOOKUP(A45,INICIO!A$10:A$109,INICIO!C$10:C$109)</f>
        <v>30</v>
      </c>
      <c r="B46" s="31" t="str">
        <f t="shared" si="4"/>
        <v xml:space="preserve"> _empresa. = </v>
      </c>
      <c r="C46" s="23" t="str">
        <f t="shared" ref="C46" si="52">SUBSTITUTE(E46,"???",CONCATENATE(F46,G46,H46))</f>
        <v>0</v>
      </c>
      <c r="D46" s="23" t="s">
        <v>72</v>
      </c>
      <c r="E46" s="26">
        <f>LOOKUP(LISTAR!A46,AJUSTE!B:B,AJUSTE!F:F)</f>
        <v>0</v>
      </c>
      <c r="F46" s="30" t="s">
        <v>98</v>
      </c>
      <c r="G46" s="26" t="str">
        <f t="shared" ref="G46" si="53">C45</f>
        <v/>
      </c>
      <c r="H46" s="32" t="s">
        <v>99</v>
      </c>
      <c r="K46" s="38">
        <f t="shared" si="1"/>
        <v>0</v>
      </c>
      <c r="L46" s="9" t="str">
        <f t="shared" ref="L46" si="54">IF(H45,CONCATENATE("                            ",B46,C46,D46),"")</f>
        <v/>
      </c>
    </row>
    <row r="47" spans="1:12" hidden="1" x14ac:dyDescent="0.25">
      <c r="A47" s="24">
        <v>14</v>
      </c>
      <c r="B47" s="21" t="s">
        <v>93</v>
      </c>
      <c r="C47" s="25" t="str">
        <f>LOOKUP(A47,INICIO!A$10:A$109,INICIO!K$10:K$109)</f>
        <v/>
      </c>
      <c r="D47" s="22" t="s">
        <v>94</v>
      </c>
      <c r="E47" s="22"/>
      <c r="F47" s="22"/>
      <c r="G47" s="22"/>
      <c r="H47" s="34">
        <f>LOOKUP(A47,INICIO!A$10:A$109,INICIO!J$10:J$109)</f>
        <v>0</v>
      </c>
      <c r="K47" s="38">
        <f t="shared" si="1"/>
        <v>0</v>
      </c>
      <c r="L47" s="9" t="str">
        <f t="shared" ref="L47" si="55">IF(H47,CONCATENATE("                        ",B47,C47,D47),"")</f>
        <v/>
      </c>
    </row>
    <row r="48" spans="1:12" hidden="1" x14ac:dyDescent="0.25">
      <c r="A48" s="28">
        <f>LOOKUP(A47,INICIO!A$10:A$109,INICIO!C$10:C$109)</f>
        <v>30</v>
      </c>
      <c r="B48" s="31" t="str">
        <f t="shared" si="4"/>
        <v xml:space="preserve"> _empresa. = </v>
      </c>
      <c r="C48" s="23" t="str">
        <f t="shared" ref="C48" si="56">SUBSTITUTE(E48,"???",CONCATENATE(F48,G48,H48))</f>
        <v>0</v>
      </c>
      <c r="D48" s="23" t="s">
        <v>72</v>
      </c>
      <c r="E48" s="26">
        <f>LOOKUP(LISTAR!A48,AJUSTE!B:B,AJUSTE!F:F)</f>
        <v>0</v>
      </c>
      <c r="F48" s="30" t="s">
        <v>98</v>
      </c>
      <c r="G48" s="26" t="str">
        <f t="shared" ref="G48" si="57">C47</f>
        <v/>
      </c>
      <c r="H48" s="32" t="s">
        <v>99</v>
      </c>
      <c r="K48" s="38">
        <f t="shared" si="1"/>
        <v>0</v>
      </c>
      <c r="L48" s="9" t="str">
        <f t="shared" ref="L48" si="58">IF(H47,CONCATENATE("                            ",B48,C48,D48),"")</f>
        <v/>
      </c>
    </row>
    <row r="49" spans="1:12" hidden="1" x14ac:dyDescent="0.25">
      <c r="A49" s="24">
        <v>15</v>
      </c>
      <c r="B49" s="21" t="s">
        <v>93</v>
      </c>
      <c r="C49" s="25" t="str">
        <f>LOOKUP(A49,INICIO!A$10:A$109,INICIO!K$10:K$109)</f>
        <v/>
      </c>
      <c r="D49" s="22" t="s">
        <v>94</v>
      </c>
      <c r="E49" s="22"/>
      <c r="F49" s="22"/>
      <c r="G49" s="22"/>
      <c r="H49" s="34">
        <f>LOOKUP(A49,INICIO!A$10:A$109,INICIO!J$10:J$109)</f>
        <v>0</v>
      </c>
      <c r="K49" s="38">
        <f t="shared" si="1"/>
        <v>0</v>
      </c>
      <c r="L49" s="9" t="str">
        <f t="shared" ref="L49" si="59">IF(H49,CONCATENATE("                        ",B49,C49,D49),"")</f>
        <v/>
      </c>
    </row>
    <row r="50" spans="1:12" hidden="1" x14ac:dyDescent="0.25">
      <c r="A50" s="28">
        <f>LOOKUP(A49,INICIO!A$10:A$109,INICIO!C$10:C$109)</f>
        <v>30</v>
      </c>
      <c r="B50" s="31" t="str">
        <f t="shared" si="4"/>
        <v xml:space="preserve"> _empresa. = </v>
      </c>
      <c r="C50" s="23" t="str">
        <f t="shared" ref="C50" si="60">SUBSTITUTE(E50,"???",CONCATENATE(F50,G50,H50))</f>
        <v>0</v>
      </c>
      <c r="D50" s="23" t="s">
        <v>72</v>
      </c>
      <c r="E50" s="26">
        <f>LOOKUP(LISTAR!A50,AJUSTE!B:B,AJUSTE!F:F)</f>
        <v>0</v>
      </c>
      <c r="F50" s="30" t="s">
        <v>98</v>
      </c>
      <c r="G50" s="26" t="str">
        <f t="shared" ref="G50" si="61">C49</f>
        <v/>
      </c>
      <c r="H50" s="32" t="s">
        <v>99</v>
      </c>
      <c r="K50" s="38">
        <f t="shared" si="1"/>
        <v>0</v>
      </c>
      <c r="L50" s="9" t="str">
        <f t="shared" ref="L50" si="62">IF(H49,CONCATENATE("                            ",B50,C50,D50),"")</f>
        <v/>
      </c>
    </row>
    <row r="51" spans="1:12" hidden="1" x14ac:dyDescent="0.25">
      <c r="A51" s="24">
        <v>16</v>
      </c>
      <c r="B51" s="21" t="s">
        <v>93</v>
      </c>
      <c r="C51" s="25" t="str">
        <f>LOOKUP(A51,INICIO!A$10:A$109,INICIO!K$10:K$109)</f>
        <v/>
      </c>
      <c r="D51" s="22" t="s">
        <v>94</v>
      </c>
      <c r="E51" s="22"/>
      <c r="F51" s="22"/>
      <c r="G51" s="22"/>
      <c r="H51" s="34">
        <f>LOOKUP(A51,INICIO!A$10:A$109,INICIO!J$10:J$109)</f>
        <v>0</v>
      </c>
      <c r="K51" s="38">
        <f t="shared" si="1"/>
        <v>0</v>
      </c>
      <c r="L51" s="9" t="str">
        <f t="shared" ref="L51" si="63">IF(H51,CONCATENATE("                        ",B51,C51,D51),"")</f>
        <v/>
      </c>
    </row>
    <row r="52" spans="1:12" hidden="1" x14ac:dyDescent="0.25">
      <c r="A52" s="28">
        <f>LOOKUP(A51,INICIO!A$10:A$109,INICIO!C$10:C$109)</f>
        <v>30</v>
      </c>
      <c r="B52" s="31" t="str">
        <f t="shared" si="4"/>
        <v xml:space="preserve"> _empresa. = </v>
      </c>
      <c r="C52" s="23" t="str">
        <f t="shared" ref="C52" si="64">SUBSTITUTE(E52,"???",CONCATENATE(F52,G52,H52))</f>
        <v>0</v>
      </c>
      <c r="D52" s="23" t="s">
        <v>72</v>
      </c>
      <c r="E52" s="26">
        <f>LOOKUP(LISTAR!A52,AJUSTE!B:B,AJUSTE!F:F)</f>
        <v>0</v>
      </c>
      <c r="F52" s="30" t="s">
        <v>98</v>
      </c>
      <c r="G52" s="26" t="str">
        <f t="shared" ref="G52" si="65">C51</f>
        <v/>
      </c>
      <c r="H52" s="32" t="s">
        <v>99</v>
      </c>
      <c r="K52" s="38">
        <f t="shared" si="1"/>
        <v>0</v>
      </c>
      <c r="L52" s="9" t="str">
        <f t="shared" ref="L52" si="66">IF(H51,CONCATENATE("                            ",B52,C52,D52),"")</f>
        <v/>
      </c>
    </row>
    <row r="53" spans="1:12" hidden="1" x14ac:dyDescent="0.25">
      <c r="A53" s="24">
        <v>17</v>
      </c>
      <c r="B53" s="21" t="s">
        <v>93</v>
      </c>
      <c r="C53" s="25" t="str">
        <f>LOOKUP(A53,INICIO!A$10:A$109,INICIO!K$10:K$109)</f>
        <v/>
      </c>
      <c r="D53" s="22" t="s">
        <v>94</v>
      </c>
      <c r="E53" s="22"/>
      <c r="F53" s="22"/>
      <c r="G53" s="22"/>
      <c r="H53" s="34">
        <f>LOOKUP(A53,INICIO!A$10:A$109,INICIO!J$10:J$109)</f>
        <v>0</v>
      </c>
      <c r="K53" s="38">
        <f t="shared" si="1"/>
        <v>0</v>
      </c>
      <c r="L53" s="9" t="str">
        <f t="shared" ref="L53" si="67">IF(H53,CONCATENATE("                        ",B53,C53,D53),"")</f>
        <v/>
      </c>
    </row>
    <row r="54" spans="1:12" hidden="1" x14ac:dyDescent="0.25">
      <c r="A54" s="28">
        <f>LOOKUP(A53,INICIO!A$10:A$109,INICIO!C$10:C$109)</f>
        <v>30</v>
      </c>
      <c r="B54" s="31" t="str">
        <f t="shared" si="4"/>
        <v xml:space="preserve"> _empresa. = </v>
      </c>
      <c r="C54" s="23" t="str">
        <f t="shared" ref="C54" si="68">SUBSTITUTE(E54,"???",CONCATENATE(F54,G54,H54))</f>
        <v>0</v>
      </c>
      <c r="D54" s="23" t="s">
        <v>72</v>
      </c>
      <c r="E54" s="26">
        <f>LOOKUP(LISTAR!A54,AJUSTE!B:B,AJUSTE!F:F)</f>
        <v>0</v>
      </c>
      <c r="F54" s="30" t="s">
        <v>98</v>
      </c>
      <c r="G54" s="26" t="str">
        <f t="shared" ref="G54" si="69">C53</f>
        <v/>
      </c>
      <c r="H54" s="32" t="s">
        <v>99</v>
      </c>
      <c r="K54" s="38">
        <f t="shared" si="1"/>
        <v>0</v>
      </c>
      <c r="L54" s="9" t="str">
        <f t="shared" ref="L54" si="70">IF(H53,CONCATENATE("                            ",B54,C54,D54),"")</f>
        <v/>
      </c>
    </row>
    <row r="55" spans="1:12" hidden="1" x14ac:dyDescent="0.25">
      <c r="A55" s="24">
        <v>18</v>
      </c>
      <c r="B55" s="21" t="s">
        <v>93</v>
      </c>
      <c r="C55" s="25" t="str">
        <f>LOOKUP(A55,INICIO!A$10:A$109,INICIO!K$10:K$109)</f>
        <v/>
      </c>
      <c r="D55" s="22" t="s">
        <v>94</v>
      </c>
      <c r="E55" s="22"/>
      <c r="F55" s="22"/>
      <c r="G55" s="22"/>
      <c r="H55" s="34">
        <f>LOOKUP(A55,INICIO!A$10:A$109,INICIO!J$10:J$109)</f>
        <v>0</v>
      </c>
      <c r="K55" s="38">
        <f t="shared" si="1"/>
        <v>0</v>
      </c>
      <c r="L55" s="9" t="str">
        <f t="shared" ref="L55" si="71">IF(H55,CONCATENATE("                        ",B55,C55,D55),"")</f>
        <v/>
      </c>
    </row>
    <row r="56" spans="1:12" hidden="1" x14ac:dyDescent="0.25">
      <c r="A56" s="28">
        <f>LOOKUP(A55,INICIO!A$10:A$109,INICIO!C$10:C$109)</f>
        <v>30</v>
      </c>
      <c r="B56" s="31" t="str">
        <f t="shared" si="4"/>
        <v xml:space="preserve"> _empresa. = </v>
      </c>
      <c r="C56" s="23" t="str">
        <f t="shared" ref="C56" si="72">SUBSTITUTE(E56,"???",CONCATENATE(F56,G56,H56))</f>
        <v>0</v>
      </c>
      <c r="D56" s="23" t="s">
        <v>72</v>
      </c>
      <c r="E56" s="26">
        <f>LOOKUP(LISTAR!A56,AJUSTE!B:B,AJUSTE!F:F)</f>
        <v>0</v>
      </c>
      <c r="F56" s="30" t="s">
        <v>98</v>
      </c>
      <c r="G56" s="26" t="str">
        <f t="shared" ref="G56" si="73">C55</f>
        <v/>
      </c>
      <c r="H56" s="32" t="s">
        <v>99</v>
      </c>
      <c r="K56" s="38">
        <f t="shared" si="1"/>
        <v>0</v>
      </c>
      <c r="L56" s="9" t="str">
        <f t="shared" ref="L56" si="74">IF(H55,CONCATENATE("                            ",B56,C56,D56),"")</f>
        <v/>
      </c>
    </row>
    <row r="57" spans="1:12" hidden="1" x14ac:dyDescent="0.25">
      <c r="A57" s="24">
        <v>19</v>
      </c>
      <c r="B57" s="21" t="s">
        <v>93</v>
      </c>
      <c r="C57" s="25" t="str">
        <f>LOOKUP(A57,INICIO!A$10:A$109,INICIO!K$10:K$109)</f>
        <v/>
      </c>
      <c r="D57" s="22" t="s">
        <v>94</v>
      </c>
      <c r="E57" s="22"/>
      <c r="F57" s="22"/>
      <c r="G57" s="22"/>
      <c r="H57" s="34">
        <f>LOOKUP(A57,INICIO!A$10:A$109,INICIO!J$10:J$109)</f>
        <v>0</v>
      </c>
      <c r="K57" s="38">
        <f t="shared" si="1"/>
        <v>0</v>
      </c>
      <c r="L57" s="9" t="str">
        <f t="shared" ref="L57" si="75">IF(H57,CONCATENATE("                        ",B57,C57,D57),"")</f>
        <v/>
      </c>
    </row>
    <row r="58" spans="1:12" hidden="1" x14ac:dyDescent="0.25">
      <c r="A58" s="28">
        <f>LOOKUP(A57,INICIO!A$10:A$109,INICIO!C$10:C$109)</f>
        <v>30</v>
      </c>
      <c r="B58" s="31" t="str">
        <f t="shared" si="4"/>
        <v xml:space="preserve"> _empresa. = </v>
      </c>
      <c r="C58" s="23" t="str">
        <f t="shared" ref="C58" si="76">SUBSTITUTE(E58,"???",CONCATENATE(F58,G58,H58))</f>
        <v>0</v>
      </c>
      <c r="D58" s="23" t="s">
        <v>72</v>
      </c>
      <c r="E58" s="26">
        <f>LOOKUP(LISTAR!A58,AJUSTE!B:B,AJUSTE!F:F)</f>
        <v>0</v>
      </c>
      <c r="F58" s="30" t="s">
        <v>98</v>
      </c>
      <c r="G58" s="26" t="str">
        <f t="shared" ref="G58" si="77">C57</f>
        <v/>
      </c>
      <c r="H58" s="32" t="s">
        <v>99</v>
      </c>
      <c r="K58" s="38">
        <f t="shared" si="1"/>
        <v>0</v>
      </c>
      <c r="L58" s="9" t="str">
        <f t="shared" ref="L58" si="78">IF(H57,CONCATENATE("                            ",B58,C58,D58),"")</f>
        <v/>
      </c>
    </row>
    <row r="59" spans="1:12" hidden="1" x14ac:dyDescent="0.25">
      <c r="A59" s="24">
        <v>20</v>
      </c>
      <c r="B59" s="21" t="s">
        <v>93</v>
      </c>
      <c r="C59" s="25" t="str">
        <f>LOOKUP(A59,INICIO!A$10:A$109,INICIO!K$10:K$109)</f>
        <v/>
      </c>
      <c r="D59" s="22" t="s">
        <v>94</v>
      </c>
      <c r="E59" s="22"/>
      <c r="F59" s="22"/>
      <c r="G59" s="22"/>
      <c r="H59" s="34">
        <f>LOOKUP(A59,INICIO!A$10:A$109,INICIO!J$10:J$109)</f>
        <v>0</v>
      </c>
      <c r="K59" s="38">
        <f t="shared" si="1"/>
        <v>0</v>
      </c>
      <c r="L59" s="9" t="str">
        <f t="shared" ref="L59" si="79">IF(H59,CONCATENATE("                        ",B59,C59,D59),"")</f>
        <v/>
      </c>
    </row>
    <row r="60" spans="1:12" hidden="1" x14ac:dyDescent="0.25">
      <c r="A60" s="28">
        <f>LOOKUP(A59,INICIO!A$10:A$109,INICIO!C$10:C$109)</f>
        <v>30</v>
      </c>
      <c r="B60" s="31" t="str">
        <f t="shared" si="4"/>
        <v xml:space="preserve"> _empresa. = </v>
      </c>
      <c r="C60" s="23" t="str">
        <f t="shared" ref="C60" si="80">SUBSTITUTE(E60,"???",CONCATENATE(F60,G60,H60))</f>
        <v>0</v>
      </c>
      <c r="D60" s="23" t="s">
        <v>72</v>
      </c>
      <c r="E60" s="26">
        <f>LOOKUP(LISTAR!A60,AJUSTE!B:B,AJUSTE!F:F)</f>
        <v>0</v>
      </c>
      <c r="F60" s="30" t="s">
        <v>98</v>
      </c>
      <c r="G60" s="26" t="str">
        <f t="shared" ref="G60" si="81">C59</f>
        <v/>
      </c>
      <c r="H60" s="32" t="s">
        <v>99</v>
      </c>
      <c r="K60" s="38">
        <f t="shared" si="1"/>
        <v>0</v>
      </c>
      <c r="L60" s="9" t="str">
        <f t="shared" ref="L60" si="82">IF(H59,CONCATENATE("                            ",B60,C60,D60),"")</f>
        <v/>
      </c>
    </row>
    <row r="61" spans="1:12" hidden="1" x14ac:dyDescent="0.25">
      <c r="A61" s="24">
        <v>21</v>
      </c>
      <c r="B61" s="21" t="s">
        <v>93</v>
      </c>
      <c r="C61" s="25" t="str">
        <f>LOOKUP(A61,INICIO!A$10:A$109,INICIO!K$10:K$109)</f>
        <v/>
      </c>
      <c r="D61" s="22" t="s">
        <v>94</v>
      </c>
      <c r="E61" s="22"/>
      <c r="F61" s="22"/>
      <c r="G61" s="22"/>
      <c r="H61" s="34">
        <f>LOOKUP(A61,INICIO!A$10:A$109,INICIO!J$10:J$109)</f>
        <v>0</v>
      </c>
      <c r="K61" s="38">
        <f t="shared" si="1"/>
        <v>0</v>
      </c>
      <c r="L61" s="9" t="str">
        <f t="shared" ref="L61" si="83">IF(H61,CONCATENATE("                        ",B61,C61,D61),"")</f>
        <v/>
      </c>
    </row>
    <row r="62" spans="1:12" hidden="1" x14ac:dyDescent="0.25">
      <c r="A62" s="28">
        <f>LOOKUP(A61,INICIO!A$10:A$109,INICIO!C$10:C$109)</f>
        <v>30</v>
      </c>
      <c r="B62" s="31" t="str">
        <f t="shared" si="4"/>
        <v xml:space="preserve"> _empresa. = </v>
      </c>
      <c r="C62" s="23" t="str">
        <f t="shared" ref="C62" si="84">SUBSTITUTE(E62,"???",CONCATENATE(F62,G62,H62))</f>
        <v>0</v>
      </c>
      <c r="D62" s="23" t="s">
        <v>72</v>
      </c>
      <c r="E62" s="26">
        <f>LOOKUP(LISTAR!A62,AJUSTE!B:B,AJUSTE!F:F)</f>
        <v>0</v>
      </c>
      <c r="F62" s="30" t="s">
        <v>98</v>
      </c>
      <c r="G62" s="26" t="str">
        <f t="shared" ref="G62" si="85">C61</f>
        <v/>
      </c>
      <c r="H62" s="32" t="s">
        <v>99</v>
      </c>
      <c r="K62" s="38">
        <f t="shared" si="1"/>
        <v>0</v>
      </c>
      <c r="L62" s="9" t="str">
        <f t="shared" ref="L62" si="86">IF(H61,CONCATENATE("                            ",B62,C62,D62),"")</f>
        <v/>
      </c>
    </row>
    <row r="63" spans="1:12" hidden="1" x14ac:dyDescent="0.25">
      <c r="A63" s="24">
        <v>22</v>
      </c>
      <c r="B63" s="21" t="s">
        <v>93</v>
      </c>
      <c r="C63" s="25" t="str">
        <f>LOOKUP(A63,INICIO!A$10:A$109,INICIO!K$10:K$109)</f>
        <v/>
      </c>
      <c r="D63" s="22" t="s">
        <v>94</v>
      </c>
      <c r="E63" s="22"/>
      <c r="F63" s="22"/>
      <c r="G63" s="22"/>
      <c r="H63" s="34">
        <f>LOOKUP(A63,INICIO!A$10:A$109,INICIO!J$10:J$109)</f>
        <v>0</v>
      </c>
      <c r="K63" s="38">
        <f t="shared" si="1"/>
        <v>0</v>
      </c>
      <c r="L63" s="9" t="str">
        <f t="shared" ref="L63" si="87">IF(H63,CONCATENATE("                        ",B63,C63,D63),"")</f>
        <v/>
      </c>
    </row>
    <row r="64" spans="1:12" hidden="1" x14ac:dyDescent="0.25">
      <c r="A64" s="28">
        <f>LOOKUP(A63,INICIO!A$10:A$109,INICIO!C$10:C$109)</f>
        <v>30</v>
      </c>
      <c r="B64" s="31" t="str">
        <f t="shared" si="4"/>
        <v xml:space="preserve"> _empresa. = </v>
      </c>
      <c r="C64" s="23" t="str">
        <f t="shared" ref="C64" si="88">SUBSTITUTE(E64,"???",CONCATENATE(F64,G64,H64))</f>
        <v>0</v>
      </c>
      <c r="D64" s="23" t="s">
        <v>72</v>
      </c>
      <c r="E64" s="26">
        <f>LOOKUP(LISTAR!A64,AJUSTE!B:B,AJUSTE!F:F)</f>
        <v>0</v>
      </c>
      <c r="F64" s="30" t="s">
        <v>98</v>
      </c>
      <c r="G64" s="26" t="str">
        <f t="shared" ref="G64" si="89">C63</f>
        <v/>
      </c>
      <c r="H64" s="32" t="s">
        <v>99</v>
      </c>
      <c r="K64" s="38">
        <f t="shared" si="1"/>
        <v>0</v>
      </c>
      <c r="L64" s="9" t="str">
        <f t="shared" ref="L64" si="90">IF(H63,CONCATENATE("                            ",B64,C64,D64),"")</f>
        <v/>
      </c>
    </row>
    <row r="65" spans="1:12" hidden="1" x14ac:dyDescent="0.25">
      <c r="A65" s="24">
        <v>23</v>
      </c>
      <c r="B65" s="21" t="s">
        <v>93</v>
      </c>
      <c r="C65" s="25" t="str">
        <f>LOOKUP(A65,INICIO!A$10:A$109,INICIO!K$10:K$109)</f>
        <v/>
      </c>
      <c r="D65" s="22" t="s">
        <v>94</v>
      </c>
      <c r="E65" s="22"/>
      <c r="F65" s="22"/>
      <c r="G65" s="22"/>
      <c r="H65" s="34">
        <f>LOOKUP(A65,INICIO!A$10:A$109,INICIO!J$10:J$109)</f>
        <v>0</v>
      </c>
      <c r="K65" s="38">
        <f t="shared" si="1"/>
        <v>0</v>
      </c>
      <c r="L65" s="9" t="str">
        <f t="shared" ref="L65" si="91">IF(H65,CONCATENATE("                        ",B65,C65,D65),"")</f>
        <v/>
      </c>
    </row>
    <row r="66" spans="1:12" hidden="1" x14ac:dyDescent="0.25">
      <c r="A66" s="28">
        <f>LOOKUP(A65,INICIO!A$10:A$109,INICIO!C$10:C$109)</f>
        <v>30</v>
      </c>
      <c r="B66" s="31" t="str">
        <f t="shared" si="4"/>
        <v xml:space="preserve"> _empresa. = </v>
      </c>
      <c r="C66" s="23" t="str">
        <f t="shared" ref="C66" si="92">SUBSTITUTE(E66,"???",CONCATENATE(F66,G66,H66))</f>
        <v>0</v>
      </c>
      <c r="D66" s="23" t="s">
        <v>72</v>
      </c>
      <c r="E66" s="26">
        <f>LOOKUP(LISTAR!A66,AJUSTE!B:B,AJUSTE!F:F)</f>
        <v>0</v>
      </c>
      <c r="F66" s="30" t="s">
        <v>98</v>
      </c>
      <c r="G66" s="26" t="str">
        <f t="shared" ref="G66" si="93">C65</f>
        <v/>
      </c>
      <c r="H66" s="32" t="s">
        <v>99</v>
      </c>
      <c r="K66" s="38">
        <f t="shared" si="1"/>
        <v>0</v>
      </c>
      <c r="L66" s="9" t="str">
        <f t="shared" ref="L66" si="94">IF(H65,CONCATENATE("                            ",B66,C66,D66),"")</f>
        <v/>
      </c>
    </row>
    <row r="67" spans="1:12" hidden="1" x14ac:dyDescent="0.25">
      <c r="A67" s="24">
        <v>24</v>
      </c>
      <c r="B67" s="21" t="s">
        <v>93</v>
      </c>
      <c r="C67" s="25" t="str">
        <f>LOOKUP(A67,INICIO!A$10:A$109,INICIO!K$10:K$109)</f>
        <v/>
      </c>
      <c r="D67" s="22" t="s">
        <v>94</v>
      </c>
      <c r="E67" s="22"/>
      <c r="F67" s="22"/>
      <c r="G67" s="22"/>
      <c r="H67" s="34">
        <f>LOOKUP(A67,INICIO!A$10:A$109,INICIO!J$10:J$109)</f>
        <v>0</v>
      </c>
      <c r="K67" s="38">
        <f t="shared" ref="K67:K130" si="95">IF(L67&lt;&gt;"",1,0)</f>
        <v>0</v>
      </c>
      <c r="L67" s="9" t="str">
        <f t="shared" ref="L67" si="96">IF(H67,CONCATENATE("                        ",B67,C67,D67),"")</f>
        <v/>
      </c>
    </row>
    <row r="68" spans="1:12" hidden="1" x14ac:dyDescent="0.25">
      <c r="A68" s="28">
        <f>LOOKUP(A67,INICIO!A$10:A$109,INICIO!C$10:C$109)</f>
        <v>30</v>
      </c>
      <c r="B68" s="31" t="str">
        <f t="shared" si="4"/>
        <v xml:space="preserve"> _empresa. = </v>
      </c>
      <c r="C68" s="23" t="str">
        <f t="shared" ref="C68" si="97">SUBSTITUTE(E68,"???",CONCATENATE(F68,G68,H68))</f>
        <v>0</v>
      </c>
      <c r="D68" s="23" t="s">
        <v>72</v>
      </c>
      <c r="E68" s="26">
        <f>LOOKUP(LISTAR!A68,AJUSTE!B:B,AJUSTE!F:F)</f>
        <v>0</v>
      </c>
      <c r="F68" s="30" t="s">
        <v>98</v>
      </c>
      <c r="G68" s="26" t="str">
        <f t="shared" ref="G68" si="98">C67</f>
        <v/>
      </c>
      <c r="H68" s="32" t="s">
        <v>99</v>
      </c>
      <c r="K68" s="38">
        <f t="shared" si="95"/>
        <v>0</v>
      </c>
      <c r="L68" s="9" t="str">
        <f t="shared" ref="L68" si="99">IF(H67,CONCATENATE("                            ",B68,C68,D68),"")</f>
        <v/>
      </c>
    </row>
    <row r="69" spans="1:12" hidden="1" x14ac:dyDescent="0.25">
      <c r="A69" s="24">
        <v>25</v>
      </c>
      <c r="B69" s="21" t="s">
        <v>93</v>
      </c>
      <c r="C69" s="25" t="str">
        <f>LOOKUP(A69,INICIO!A$10:A$109,INICIO!K$10:K$109)</f>
        <v/>
      </c>
      <c r="D69" s="22" t="s">
        <v>94</v>
      </c>
      <c r="E69" s="22"/>
      <c r="F69" s="22"/>
      <c r="G69" s="22"/>
      <c r="H69" s="34">
        <f>LOOKUP(A69,INICIO!A$10:A$109,INICIO!J$10:J$109)</f>
        <v>0</v>
      </c>
      <c r="K69" s="38">
        <f t="shared" si="95"/>
        <v>0</v>
      </c>
      <c r="L69" s="9" t="str">
        <f t="shared" ref="L69" si="100">IF(H69,CONCATENATE("                        ",B69,C69,D69),"")</f>
        <v/>
      </c>
    </row>
    <row r="70" spans="1:12" hidden="1" x14ac:dyDescent="0.25">
      <c r="A70" s="28">
        <f>LOOKUP(A69,INICIO!A$10:A$109,INICIO!C$10:C$109)</f>
        <v>30</v>
      </c>
      <c r="B70" s="31" t="str">
        <f t="shared" si="4"/>
        <v xml:space="preserve"> _empresa. = </v>
      </c>
      <c r="C70" s="23" t="str">
        <f t="shared" ref="C70" si="101">SUBSTITUTE(E70,"???",CONCATENATE(F70,G70,H70))</f>
        <v>0</v>
      </c>
      <c r="D70" s="23" t="s">
        <v>72</v>
      </c>
      <c r="E70" s="26">
        <f>LOOKUP(LISTAR!A70,AJUSTE!B:B,AJUSTE!F:F)</f>
        <v>0</v>
      </c>
      <c r="F70" s="30" t="s">
        <v>98</v>
      </c>
      <c r="G70" s="26" t="str">
        <f t="shared" ref="G70" si="102">C69</f>
        <v/>
      </c>
      <c r="H70" s="32" t="s">
        <v>99</v>
      </c>
      <c r="K70" s="38">
        <f t="shared" si="95"/>
        <v>0</v>
      </c>
      <c r="L70" s="9" t="str">
        <f t="shared" ref="L70" si="103">IF(H69,CONCATENATE("                            ",B70,C70,D70),"")</f>
        <v/>
      </c>
    </row>
    <row r="71" spans="1:12" hidden="1" x14ac:dyDescent="0.25">
      <c r="A71" s="24">
        <v>26</v>
      </c>
      <c r="B71" s="21" t="s">
        <v>93</v>
      </c>
      <c r="C71" s="25" t="str">
        <f>LOOKUP(A71,INICIO!A$10:A$109,INICIO!K$10:K$109)</f>
        <v/>
      </c>
      <c r="D71" s="22" t="s">
        <v>94</v>
      </c>
      <c r="E71" s="22"/>
      <c r="F71" s="22"/>
      <c r="G71" s="22"/>
      <c r="H71" s="34">
        <f>LOOKUP(A71,INICIO!A$10:A$109,INICIO!J$10:J$109)</f>
        <v>0</v>
      </c>
      <c r="K71" s="38">
        <f t="shared" si="95"/>
        <v>0</v>
      </c>
      <c r="L71" s="9" t="str">
        <f t="shared" ref="L71" si="104">IF(H71,CONCATENATE("                        ",B71,C71,D71),"")</f>
        <v/>
      </c>
    </row>
    <row r="72" spans="1:12" hidden="1" x14ac:dyDescent="0.25">
      <c r="A72" s="28">
        <f>LOOKUP(A71,INICIO!A$10:A$109,INICIO!C$10:C$109)</f>
        <v>30</v>
      </c>
      <c r="B72" s="31" t="str">
        <f t="shared" si="4"/>
        <v xml:space="preserve"> _empresa. = </v>
      </c>
      <c r="C72" s="23" t="str">
        <f t="shared" ref="C72" si="105">SUBSTITUTE(E72,"???",CONCATENATE(F72,G72,H72))</f>
        <v>0</v>
      </c>
      <c r="D72" s="23" t="s">
        <v>72</v>
      </c>
      <c r="E72" s="26">
        <f>LOOKUP(LISTAR!A72,AJUSTE!B:B,AJUSTE!F:F)</f>
        <v>0</v>
      </c>
      <c r="F72" s="30" t="s">
        <v>98</v>
      </c>
      <c r="G72" s="26" t="str">
        <f t="shared" ref="G72" si="106">C71</f>
        <v/>
      </c>
      <c r="H72" s="32" t="s">
        <v>99</v>
      </c>
      <c r="K72" s="38">
        <f t="shared" si="95"/>
        <v>0</v>
      </c>
      <c r="L72" s="9" t="str">
        <f t="shared" ref="L72" si="107">IF(H71,CONCATENATE("                            ",B72,C72,D72),"")</f>
        <v/>
      </c>
    </row>
    <row r="73" spans="1:12" hidden="1" x14ac:dyDescent="0.25">
      <c r="A73" s="24">
        <v>27</v>
      </c>
      <c r="B73" s="21" t="s">
        <v>93</v>
      </c>
      <c r="C73" s="25" t="str">
        <f>LOOKUP(A73,INICIO!A$10:A$109,INICIO!K$10:K$109)</f>
        <v/>
      </c>
      <c r="D73" s="22" t="s">
        <v>94</v>
      </c>
      <c r="E73" s="22"/>
      <c r="F73" s="22"/>
      <c r="G73" s="22"/>
      <c r="H73" s="34">
        <f>LOOKUP(A73,INICIO!A$10:A$109,INICIO!J$10:J$109)</f>
        <v>0</v>
      </c>
      <c r="K73" s="38">
        <f t="shared" si="95"/>
        <v>0</v>
      </c>
      <c r="L73" s="9" t="str">
        <f t="shared" ref="L73" si="108">IF(H73,CONCATENATE("                        ",B73,C73,D73),"")</f>
        <v/>
      </c>
    </row>
    <row r="74" spans="1:12" hidden="1" x14ac:dyDescent="0.25">
      <c r="A74" s="28">
        <f>LOOKUP(A73,INICIO!A$10:A$109,INICIO!C$10:C$109)</f>
        <v>30</v>
      </c>
      <c r="B74" s="31" t="str">
        <f t="shared" si="4"/>
        <v xml:space="preserve"> _empresa. = </v>
      </c>
      <c r="C74" s="23" t="str">
        <f t="shared" ref="C74" si="109">SUBSTITUTE(E74,"???",CONCATENATE(F74,G74,H74))</f>
        <v>0</v>
      </c>
      <c r="D74" s="23" t="s">
        <v>72</v>
      </c>
      <c r="E74" s="26">
        <f>LOOKUP(LISTAR!A74,AJUSTE!B:B,AJUSTE!F:F)</f>
        <v>0</v>
      </c>
      <c r="F74" s="30" t="s">
        <v>98</v>
      </c>
      <c r="G74" s="26" t="str">
        <f t="shared" ref="G74" si="110">C73</f>
        <v/>
      </c>
      <c r="H74" s="32" t="s">
        <v>99</v>
      </c>
      <c r="K74" s="38">
        <f t="shared" si="95"/>
        <v>0</v>
      </c>
      <c r="L74" s="9" t="str">
        <f t="shared" ref="L74" si="111">IF(H73,CONCATENATE("                            ",B74,C74,D74),"")</f>
        <v/>
      </c>
    </row>
    <row r="75" spans="1:12" hidden="1" x14ac:dyDescent="0.25">
      <c r="A75" s="24">
        <v>28</v>
      </c>
      <c r="B75" s="21" t="s">
        <v>93</v>
      </c>
      <c r="C75" s="25" t="str">
        <f>LOOKUP(A75,INICIO!A$10:A$109,INICIO!K$10:K$109)</f>
        <v/>
      </c>
      <c r="D75" s="22" t="s">
        <v>94</v>
      </c>
      <c r="E75" s="22"/>
      <c r="F75" s="22"/>
      <c r="G75" s="22"/>
      <c r="H75" s="34">
        <f>LOOKUP(A75,INICIO!A$10:A$109,INICIO!J$10:J$109)</f>
        <v>0</v>
      </c>
      <c r="K75" s="38">
        <f t="shared" si="95"/>
        <v>0</v>
      </c>
      <c r="L75" s="9" t="str">
        <f t="shared" ref="L75" si="112">IF(H75,CONCATENATE("                        ",B75,C75,D75),"")</f>
        <v/>
      </c>
    </row>
    <row r="76" spans="1:12" hidden="1" x14ac:dyDescent="0.25">
      <c r="A76" s="28">
        <f>LOOKUP(A75,INICIO!A$10:A$109,INICIO!C$10:C$109)</f>
        <v>30</v>
      </c>
      <c r="B76" s="31" t="str">
        <f t="shared" si="4"/>
        <v xml:space="preserve"> _empresa. = </v>
      </c>
      <c r="C76" s="23" t="str">
        <f t="shared" ref="C76" si="113">SUBSTITUTE(E76,"???",CONCATENATE(F76,G76,H76))</f>
        <v>0</v>
      </c>
      <c r="D76" s="23" t="s">
        <v>72</v>
      </c>
      <c r="E76" s="26">
        <f>LOOKUP(LISTAR!A76,AJUSTE!B:B,AJUSTE!F:F)</f>
        <v>0</v>
      </c>
      <c r="F76" s="30" t="s">
        <v>98</v>
      </c>
      <c r="G76" s="26" t="str">
        <f t="shared" ref="G76" si="114">C75</f>
        <v/>
      </c>
      <c r="H76" s="32" t="s">
        <v>99</v>
      </c>
      <c r="K76" s="38">
        <f t="shared" si="95"/>
        <v>0</v>
      </c>
      <c r="L76" s="9" t="str">
        <f t="shared" ref="L76" si="115">IF(H75,CONCATENATE("                            ",B76,C76,D76),"")</f>
        <v/>
      </c>
    </row>
    <row r="77" spans="1:12" hidden="1" x14ac:dyDescent="0.25">
      <c r="A77" s="24">
        <v>29</v>
      </c>
      <c r="B77" s="21" t="s">
        <v>93</v>
      </c>
      <c r="C77" s="25" t="str">
        <f>LOOKUP(A77,INICIO!A$10:A$109,INICIO!K$10:K$109)</f>
        <v/>
      </c>
      <c r="D77" s="22" t="s">
        <v>94</v>
      </c>
      <c r="E77" s="22"/>
      <c r="F77" s="22"/>
      <c r="G77" s="22"/>
      <c r="H77" s="34">
        <f>LOOKUP(A77,INICIO!A$10:A$109,INICIO!J$10:J$109)</f>
        <v>0</v>
      </c>
      <c r="K77" s="38">
        <f t="shared" si="95"/>
        <v>0</v>
      </c>
      <c r="L77" s="9" t="str">
        <f t="shared" ref="L77" si="116">IF(H77,CONCATENATE("                        ",B77,C77,D77),"")</f>
        <v/>
      </c>
    </row>
    <row r="78" spans="1:12" hidden="1" x14ac:dyDescent="0.25">
      <c r="A78" s="28">
        <f>LOOKUP(A77,INICIO!A$10:A$109,INICIO!C$10:C$109)</f>
        <v>30</v>
      </c>
      <c r="B78" s="31" t="str">
        <f t="shared" si="4"/>
        <v xml:space="preserve"> _empresa. = </v>
      </c>
      <c r="C78" s="23" t="str">
        <f t="shared" ref="C78" si="117">SUBSTITUTE(E78,"???",CONCATENATE(F78,G78,H78))</f>
        <v>0</v>
      </c>
      <c r="D78" s="23" t="s">
        <v>72</v>
      </c>
      <c r="E78" s="26">
        <f>LOOKUP(LISTAR!A78,AJUSTE!B:B,AJUSTE!F:F)</f>
        <v>0</v>
      </c>
      <c r="F78" s="30" t="s">
        <v>98</v>
      </c>
      <c r="G78" s="26" t="str">
        <f t="shared" ref="G78" si="118">C77</f>
        <v/>
      </c>
      <c r="H78" s="32" t="s">
        <v>99</v>
      </c>
      <c r="K78" s="38">
        <f t="shared" si="95"/>
        <v>0</v>
      </c>
      <c r="L78" s="9" t="str">
        <f t="shared" ref="L78" si="119">IF(H77,CONCATENATE("                            ",B78,C78,D78),"")</f>
        <v/>
      </c>
    </row>
    <row r="79" spans="1:12" hidden="1" x14ac:dyDescent="0.25">
      <c r="A79" s="24">
        <v>30</v>
      </c>
      <c r="B79" s="21" t="s">
        <v>93</v>
      </c>
      <c r="C79" s="25" t="str">
        <f>LOOKUP(A79,INICIO!A$10:A$109,INICIO!K$10:K$109)</f>
        <v/>
      </c>
      <c r="D79" s="22" t="s">
        <v>94</v>
      </c>
      <c r="E79" s="22"/>
      <c r="F79" s="22"/>
      <c r="G79" s="22"/>
      <c r="H79" s="34">
        <f>LOOKUP(A79,INICIO!A$10:A$109,INICIO!J$10:J$109)</f>
        <v>0</v>
      </c>
      <c r="K79" s="38">
        <f t="shared" si="95"/>
        <v>0</v>
      </c>
      <c r="L79" s="9" t="str">
        <f t="shared" ref="L79" si="120">IF(H79,CONCATENATE("                        ",B79,C79,D79),"")</f>
        <v/>
      </c>
    </row>
    <row r="80" spans="1:12" hidden="1" x14ac:dyDescent="0.25">
      <c r="A80" s="28">
        <f>LOOKUP(A79,INICIO!A$10:A$109,INICIO!C$10:C$109)</f>
        <v>30</v>
      </c>
      <c r="B80" s="31" t="str">
        <f t="shared" si="4"/>
        <v xml:space="preserve"> _empresa. = </v>
      </c>
      <c r="C80" s="23" t="str">
        <f t="shared" ref="C80" si="121">SUBSTITUTE(E80,"???",CONCATENATE(F80,G80,H80))</f>
        <v>0</v>
      </c>
      <c r="D80" s="23" t="s">
        <v>72</v>
      </c>
      <c r="E80" s="26">
        <f>LOOKUP(LISTAR!A80,AJUSTE!B:B,AJUSTE!F:F)</f>
        <v>0</v>
      </c>
      <c r="F80" s="30" t="s">
        <v>98</v>
      </c>
      <c r="G80" s="26" t="str">
        <f t="shared" ref="G80" si="122">C79</f>
        <v/>
      </c>
      <c r="H80" s="32" t="s">
        <v>99</v>
      </c>
      <c r="K80" s="38">
        <f t="shared" si="95"/>
        <v>0</v>
      </c>
      <c r="L80" s="9" t="str">
        <f t="shared" ref="L80" si="123">IF(H79,CONCATENATE("                            ",B80,C80,D80),"")</f>
        <v/>
      </c>
    </row>
    <row r="81" spans="1:12" hidden="1" x14ac:dyDescent="0.25">
      <c r="A81" s="24">
        <v>31</v>
      </c>
      <c r="B81" s="21" t="s">
        <v>93</v>
      </c>
      <c r="C81" s="25" t="str">
        <f>LOOKUP(A81,INICIO!A$10:A$109,INICIO!K$10:K$109)</f>
        <v/>
      </c>
      <c r="D81" s="22" t="s">
        <v>94</v>
      </c>
      <c r="E81" s="22"/>
      <c r="F81" s="22"/>
      <c r="G81" s="22"/>
      <c r="H81" s="34">
        <f>LOOKUP(A81,INICIO!A$10:A$109,INICIO!J$10:J$109)</f>
        <v>0</v>
      </c>
      <c r="K81" s="38">
        <f t="shared" si="95"/>
        <v>0</v>
      </c>
      <c r="L81" s="9" t="str">
        <f t="shared" ref="L81" si="124">IF(H81,CONCATENATE("                        ",B81,C81,D81),"")</f>
        <v/>
      </c>
    </row>
    <row r="82" spans="1:12" hidden="1" x14ac:dyDescent="0.25">
      <c r="A82" s="28">
        <f>LOOKUP(A81,INICIO!A$10:A$109,INICIO!C$10:C$109)</f>
        <v>30</v>
      </c>
      <c r="B82" s="31" t="str">
        <f t="shared" si="4"/>
        <v xml:space="preserve"> _empresa. = </v>
      </c>
      <c r="C82" s="23" t="str">
        <f t="shared" ref="C82" si="125">SUBSTITUTE(E82,"???",CONCATENATE(F82,G82,H82))</f>
        <v>0</v>
      </c>
      <c r="D82" s="23" t="s">
        <v>72</v>
      </c>
      <c r="E82" s="26">
        <f>LOOKUP(LISTAR!A82,AJUSTE!B:B,AJUSTE!F:F)</f>
        <v>0</v>
      </c>
      <c r="F82" s="30" t="s">
        <v>98</v>
      </c>
      <c r="G82" s="26" t="str">
        <f t="shared" ref="G82" si="126">C81</f>
        <v/>
      </c>
      <c r="H82" s="32" t="s">
        <v>99</v>
      </c>
      <c r="K82" s="38">
        <f t="shared" si="95"/>
        <v>0</v>
      </c>
      <c r="L82" s="9" t="str">
        <f t="shared" ref="L82" si="127">IF(H81,CONCATENATE("                            ",B82,C82,D82),"")</f>
        <v/>
      </c>
    </row>
    <row r="83" spans="1:12" hidden="1" x14ac:dyDescent="0.25">
      <c r="A83" s="24">
        <v>32</v>
      </c>
      <c r="B83" s="21" t="s">
        <v>93</v>
      </c>
      <c r="C83" s="25" t="str">
        <f>LOOKUP(A83,INICIO!A$10:A$109,INICIO!K$10:K$109)</f>
        <v/>
      </c>
      <c r="D83" s="22" t="s">
        <v>94</v>
      </c>
      <c r="E83" s="22"/>
      <c r="F83" s="22"/>
      <c r="G83" s="22"/>
      <c r="H83" s="34">
        <f>LOOKUP(A83,INICIO!A$10:A$109,INICIO!J$10:J$109)</f>
        <v>0</v>
      </c>
      <c r="K83" s="38">
        <f t="shared" si="95"/>
        <v>0</v>
      </c>
      <c r="L83" s="9" t="str">
        <f t="shared" ref="L83" si="128">IF(H83,CONCATENATE("                        ",B83,C83,D83),"")</f>
        <v/>
      </c>
    </row>
    <row r="84" spans="1:12" hidden="1" x14ac:dyDescent="0.25">
      <c r="A84" s="28">
        <f>LOOKUP(A83,INICIO!A$10:A$109,INICIO!C$10:C$109)</f>
        <v>30</v>
      </c>
      <c r="B84" s="31" t="str">
        <f t="shared" si="4"/>
        <v xml:space="preserve"> _empresa. = </v>
      </c>
      <c r="C84" s="23" t="str">
        <f t="shared" ref="C84" si="129">SUBSTITUTE(E84,"???",CONCATENATE(F84,G84,H84))</f>
        <v>0</v>
      </c>
      <c r="D84" s="23" t="s">
        <v>72</v>
      </c>
      <c r="E84" s="26">
        <f>LOOKUP(LISTAR!A84,AJUSTE!B:B,AJUSTE!F:F)</f>
        <v>0</v>
      </c>
      <c r="F84" s="30" t="s">
        <v>98</v>
      </c>
      <c r="G84" s="26" t="str">
        <f t="shared" ref="G84" si="130">C83</f>
        <v/>
      </c>
      <c r="H84" s="32" t="s">
        <v>99</v>
      </c>
      <c r="K84" s="38">
        <f t="shared" si="95"/>
        <v>0</v>
      </c>
      <c r="L84" s="9" t="str">
        <f t="shared" ref="L84" si="131">IF(H83,CONCATENATE("                            ",B84,C84,D84),"")</f>
        <v/>
      </c>
    </row>
    <row r="85" spans="1:12" hidden="1" x14ac:dyDescent="0.25">
      <c r="A85" s="24">
        <v>33</v>
      </c>
      <c r="B85" s="21" t="s">
        <v>93</v>
      </c>
      <c r="C85" s="25" t="str">
        <f>LOOKUP(A85,INICIO!A$10:A$109,INICIO!K$10:K$109)</f>
        <v/>
      </c>
      <c r="D85" s="22" t="s">
        <v>94</v>
      </c>
      <c r="E85" s="22"/>
      <c r="F85" s="22"/>
      <c r="G85" s="22"/>
      <c r="H85" s="34">
        <f>LOOKUP(A85,INICIO!A$10:A$109,INICIO!J$10:J$109)</f>
        <v>0</v>
      </c>
      <c r="K85" s="38">
        <f t="shared" si="95"/>
        <v>0</v>
      </c>
      <c r="L85" s="9" t="str">
        <f t="shared" ref="L85" si="132">IF(H85,CONCATENATE("                        ",B85,C85,D85),"")</f>
        <v/>
      </c>
    </row>
    <row r="86" spans="1:12" hidden="1" x14ac:dyDescent="0.25">
      <c r="A86" s="28">
        <f>LOOKUP(A85,INICIO!A$10:A$109,INICIO!C$10:C$109)</f>
        <v>30</v>
      </c>
      <c r="B86" s="31" t="str">
        <f t="shared" ref="B86:B148" si="133">CONCATENATE(C$19,".",C85," = ")</f>
        <v xml:space="preserve"> _empresa. = </v>
      </c>
      <c r="C86" s="23" t="str">
        <f t="shared" ref="C86" si="134">SUBSTITUTE(E86,"???",CONCATENATE(F86,G86,H86))</f>
        <v>0</v>
      </c>
      <c r="D86" s="23" t="s">
        <v>72</v>
      </c>
      <c r="E86" s="26">
        <f>LOOKUP(LISTAR!A86,AJUSTE!B:B,AJUSTE!F:F)</f>
        <v>0</v>
      </c>
      <c r="F86" s="30" t="s">
        <v>98</v>
      </c>
      <c r="G86" s="26" t="str">
        <f t="shared" ref="G86" si="135">C85</f>
        <v/>
      </c>
      <c r="H86" s="32" t="s">
        <v>99</v>
      </c>
      <c r="K86" s="38">
        <f t="shared" si="95"/>
        <v>0</v>
      </c>
      <c r="L86" s="9" t="str">
        <f t="shared" ref="L86" si="136">IF(H85,CONCATENATE("                            ",B86,C86,D86),"")</f>
        <v/>
      </c>
    </row>
    <row r="87" spans="1:12" hidden="1" x14ac:dyDescent="0.25">
      <c r="A87" s="24">
        <v>34</v>
      </c>
      <c r="B87" s="21" t="s">
        <v>93</v>
      </c>
      <c r="C87" s="25" t="str">
        <f>LOOKUP(A87,INICIO!A$10:A$109,INICIO!K$10:K$109)</f>
        <v/>
      </c>
      <c r="D87" s="22" t="s">
        <v>94</v>
      </c>
      <c r="E87" s="22"/>
      <c r="F87" s="22"/>
      <c r="G87" s="22"/>
      <c r="H87" s="34">
        <f>LOOKUP(A87,INICIO!A$10:A$109,INICIO!J$10:J$109)</f>
        <v>0</v>
      </c>
      <c r="K87" s="38">
        <f t="shared" si="95"/>
        <v>0</v>
      </c>
      <c r="L87" s="9" t="str">
        <f t="shared" ref="L87" si="137">IF(H87,CONCATENATE("                        ",B87,C87,D87),"")</f>
        <v/>
      </c>
    </row>
    <row r="88" spans="1:12" hidden="1" x14ac:dyDescent="0.25">
      <c r="A88" s="28">
        <f>LOOKUP(A87,INICIO!A$10:A$109,INICIO!C$10:C$109)</f>
        <v>30</v>
      </c>
      <c r="B88" s="31" t="str">
        <f t="shared" si="133"/>
        <v xml:space="preserve"> _empresa. = </v>
      </c>
      <c r="C88" s="23" t="str">
        <f t="shared" ref="C88" si="138">SUBSTITUTE(E88,"???",CONCATENATE(F88,G88,H88))</f>
        <v>0</v>
      </c>
      <c r="D88" s="23" t="s">
        <v>72</v>
      </c>
      <c r="E88" s="26">
        <f>LOOKUP(LISTAR!A88,AJUSTE!B:B,AJUSTE!F:F)</f>
        <v>0</v>
      </c>
      <c r="F88" s="30" t="s">
        <v>98</v>
      </c>
      <c r="G88" s="26" t="str">
        <f t="shared" ref="G88" si="139">C87</f>
        <v/>
      </c>
      <c r="H88" s="32" t="s">
        <v>99</v>
      </c>
      <c r="K88" s="38">
        <f t="shared" si="95"/>
        <v>0</v>
      </c>
      <c r="L88" s="9" t="str">
        <f t="shared" ref="L88" si="140">IF(H87,CONCATENATE("                            ",B88,C88,D88),"")</f>
        <v/>
      </c>
    </row>
    <row r="89" spans="1:12" hidden="1" x14ac:dyDescent="0.25">
      <c r="A89" s="24">
        <v>35</v>
      </c>
      <c r="B89" s="21" t="s">
        <v>93</v>
      </c>
      <c r="C89" s="25" t="str">
        <f>LOOKUP(A89,INICIO!A$10:A$109,INICIO!K$10:K$109)</f>
        <v/>
      </c>
      <c r="D89" s="22" t="s">
        <v>94</v>
      </c>
      <c r="E89" s="22"/>
      <c r="F89" s="22"/>
      <c r="G89" s="22"/>
      <c r="H89" s="34">
        <f>LOOKUP(A89,INICIO!A$10:A$109,INICIO!J$10:J$109)</f>
        <v>0</v>
      </c>
      <c r="K89" s="38">
        <f t="shared" si="95"/>
        <v>0</v>
      </c>
      <c r="L89" s="9" t="str">
        <f t="shared" ref="L89" si="141">IF(H89,CONCATENATE("                        ",B89,C89,D89),"")</f>
        <v/>
      </c>
    </row>
    <row r="90" spans="1:12" hidden="1" x14ac:dyDescent="0.25">
      <c r="A90" s="28">
        <f>LOOKUP(A89,INICIO!A$10:A$109,INICIO!C$10:C$109)</f>
        <v>30</v>
      </c>
      <c r="B90" s="31" t="str">
        <f t="shared" si="133"/>
        <v xml:space="preserve"> _empresa. = </v>
      </c>
      <c r="C90" s="23" t="str">
        <f t="shared" ref="C90" si="142">SUBSTITUTE(E90,"???",CONCATENATE(F90,G90,H90))</f>
        <v>0</v>
      </c>
      <c r="D90" s="23" t="s">
        <v>72</v>
      </c>
      <c r="E90" s="26">
        <f>LOOKUP(LISTAR!A90,AJUSTE!B:B,AJUSTE!F:F)</f>
        <v>0</v>
      </c>
      <c r="F90" s="30" t="s">
        <v>98</v>
      </c>
      <c r="G90" s="26" t="str">
        <f t="shared" ref="G90" si="143">C89</f>
        <v/>
      </c>
      <c r="H90" s="32" t="s">
        <v>99</v>
      </c>
      <c r="K90" s="38">
        <f t="shared" si="95"/>
        <v>0</v>
      </c>
      <c r="L90" s="9" t="str">
        <f t="shared" ref="L90" si="144">IF(H89,CONCATENATE("                            ",B90,C90,D90),"")</f>
        <v/>
      </c>
    </row>
    <row r="91" spans="1:12" hidden="1" x14ac:dyDescent="0.25">
      <c r="A91" s="24">
        <v>36</v>
      </c>
      <c r="B91" s="21" t="s">
        <v>93</v>
      </c>
      <c r="C91" s="25" t="str">
        <f>LOOKUP(A91,INICIO!A$10:A$109,INICIO!K$10:K$109)</f>
        <v/>
      </c>
      <c r="D91" s="22" t="s">
        <v>94</v>
      </c>
      <c r="E91" s="22"/>
      <c r="F91" s="22"/>
      <c r="G91" s="22"/>
      <c r="H91" s="34">
        <f>LOOKUP(A91,INICIO!A$10:A$109,INICIO!J$10:J$109)</f>
        <v>0</v>
      </c>
      <c r="K91" s="38">
        <f t="shared" si="95"/>
        <v>0</v>
      </c>
      <c r="L91" s="9" t="str">
        <f t="shared" ref="L91" si="145">IF(H91,CONCATENATE("                        ",B91,C91,D91),"")</f>
        <v/>
      </c>
    </row>
    <row r="92" spans="1:12" hidden="1" x14ac:dyDescent="0.25">
      <c r="A92" s="28">
        <f>LOOKUP(A91,INICIO!A$10:A$109,INICIO!C$10:C$109)</f>
        <v>30</v>
      </c>
      <c r="B92" s="31" t="str">
        <f t="shared" si="133"/>
        <v xml:space="preserve"> _empresa. = </v>
      </c>
      <c r="C92" s="23" t="str">
        <f t="shared" ref="C92" si="146">SUBSTITUTE(E92,"???",CONCATENATE(F92,G92,H92))</f>
        <v>0</v>
      </c>
      <c r="D92" s="23" t="s">
        <v>72</v>
      </c>
      <c r="E92" s="26">
        <f>LOOKUP(LISTAR!A92,AJUSTE!B:B,AJUSTE!F:F)</f>
        <v>0</v>
      </c>
      <c r="F92" s="30" t="s">
        <v>98</v>
      </c>
      <c r="G92" s="26" t="str">
        <f t="shared" ref="G92" si="147">C91</f>
        <v/>
      </c>
      <c r="H92" s="32" t="s">
        <v>99</v>
      </c>
      <c r="K92" s="38">
        <f t="shared" si="95"/>
        <v>0</v>
      </c>
      <c r="L92" s="9" t="str">
        <f t="shared" ref="L92" si="148">IF(H91,CONCATENATE("                            ",B92,C92,D92),"")</f>
        <v/>
      </c>
    </row>
    <row r="93" spans="1:12" hidden="1" x14ac:dyDescent="0.25">
      <c r="A93" s="24">
        <v>37</v>
      </c>
      <c r="B93" s="21" t="s">
        <v>93</v>
      </c>
      <c r="C93" s="25" t="str">
        <f>LOOKUP(A93,INICIO!A$10:A$109,INICIO!K$10:K$109)</f>
        <v/>
      </c>
      <c r="D93" s="22" t="s">
        <v>94</v>
      </c>
      <c r="E93" s="22"/>
      <c r="F93" s="22"/>
      <c r="G93" s="22"/>
      <c r="H93" s="34">
        <f>LOOKUP(A93,INICIO!A$10:A$109,INICIO!J$10:J$109)</f>
        <v>0</v>
      </c>
      <c r="K93" s="38">
        <f t="shared" si="95"/>
        <v>0</v>
      </c>
      <c r="L93" s="9" t="str">
        <f t="shared" ref="L93" si="149">IF(H93,CONCATENATE("                        ",B93,C93,D93),"")</f>
        <v/>
      </c>
    </row>
    <row r="94" spans="1:12" hidden="1" x14ac:dyDescent="0.25">
      <c r="A94" s="28">
        <f>LOOKUP(A93,INICIO!A$10:A$109,INICIO!C$10:C$109)</f>
        <v>30</v>
      </c>
      <c r="B94" s="31" t="str">
        <f t="shared" si="133"/>
        <v xml:space="preserve"> _empresa. = </v>
      </c>
      <c r="C94" s="23" t="str">
        <f t="shared" ref="C94" si="150">SUBSTITUTE(E94,"???",CONCATENATE(F94,G94,H94))</f>
        <v>0</v>
      </c>
      <c r="D94" s="23" t="s">
        <v>72</v>
      </c>
      <c r="E94" s="26">
        <f>LOOKUP(LISTAR!A94,AJUSTE!B:B,AJUSTE!F:F)</f>
        <v>0</v>
      </c>
      <c r="F94" s="30" t="s">
        <v>98</v>
      </c>
      <c r="G94" s="26" t="str">
        <f t="shared" ref="G94" si="151">C93</f>
        <v/>
      </c>
      <c r="H94" s="32" t="s">
        <v>99</v>
      </c>
      <c r="K94" s="38">
        <f t="shared" si="95"/>
        <v>0</v>
      </c>
      <c r="L94" s="9" t="str">
        <f t="shared" ref="L94" si="152">IF(H93,CONCATENATE("                            ",B94,C94,D94),"")</f>
        <v/>
      </c>
    </row>
    <row r="95" spans="1:12" hidden="1" x14ac:dyDescent="0.25">
      <c r="A95" s="24">
        <v>38</v>
      </c>
      <c r="B95" s="21" t="s">
        <v>93</v>
      </c>
      <c r="C95" s="25" t="str">
        <f>LOOKUP(A95,INICIO!A$10:A$109,INICIO!K$10:K$109)</f>
        <v/>
      </c>
      <c r="D95" s="22" t="s">
        <v>94</v>
      </c>
      <c r="E95" s="22"/>
      <c r="F95" s="22"/>
      <c r="G95" s="22"/>
      <c r="H95" s="34">
        <f>LOOKUP(A95,INICIO!A$10:A$109,INICIO!J$10:J$109)</f>
        <v>0</v>
      </c>
      <c r="K95" s="38">
        <f t="shared" si="95"/>
        <v>0</v>
      </c>
      <c r="L95" s="9" t="str">
        <f t="shared" ref="L95" si="153">IF(H95,CONCATENATE("                        ",B95,C95,D95),"")</f>
        <v/>
      </c>
    </row>
    <row r="96" spans="1:12" hidden="1" x14ac:dyDescent="0.25">
      <c r="A96" s="28">
        <f>LOOKUP(A95,INICIO!A$10:A$109,INICIO!C$10:C$109)</f>
        <v>30</v>
      </c>
      <c r="B96" s="31" t="str">
        <f t="shared" si="133"/>
        <v xml:space="preserve"> _empresa. = </v>
      </c>
      <c r="C96" s="23" t="str">
        <f t="shared" ref="C96" si="154">SUBSTITUTE(E96,"???",CONCATENATE(F96,G96,H96))</f>
        <v>0</v>
      </c>
      <c r="D96" s="23" t="s">
        <v>72</v>
      </c>
      <c r="E96" s="26">
        <f>LOOKUP(LISTAR!A96,AJUSTE!B:B,AJUSTE!F:F)</f>
        <v>0</v>
      </c>
      <c r="F96" s="30" t="s">
        <v>98</v>
      </c>
      <c r="G96" s="26" t="str">
        <f t="shared" ref="G96" si="155">C95</f>
        <v/>
      </c>
      <c r="H96" s="32" t="s">
        <v>99</v>
      </c>
      <c r="K96" s="38">
        <f t="shared" si="95"/>
        <v>0</v>
      </c>
      <c r="L96" s="9" t="str">
        <f t="shared" ref="L96" si="156">IF(H95,CONCATENATE("                            ",B96,C96,D96),"")</f>
        <v/>
      </c>
    </row>
    <row r="97" spans="1:12" hidden="1" x14ac:dyDescent="0.25">
      <c r="A97" s="24">
        <v>39</v>
      </c>
      <c r="B97" s="21" t="s">
        <v>93</v>
      </c>
      <c r="C97" s="25" t="str">
        <f>LOOKUP(A97,INICIO!A$10:A$109,INICIO!K$10:K$109)</f>
        <v/>
      </c>
      <c r="D97" s="22" t="s">
        <v>94</v>
      </c>
      <c r="E97" s="22"/>
      <c r="F97" s="22"/>
      <c r="G97" s="22"/>
      <c r="H97" s="34">
        <f>LOOKUP(A97,INICIO!A$10:A$109,INICIO!J$10:J$109)</f>
        <v>0</v>
      </c>
      <c r="K97" s="38">
        <f t="shared" si="95"/>
        <v>0</v>
      </c>
      <c r="L97" s="9" t="str">
        <f t="shared" ref="L97" si="157">IF(H97,CONCATENATE("                        ",B97,C97,D97),"")</f>
        <v/>
      </c>
    </row>
    <row r="98" spans="1:12" hidden="1" x14ac:dyDescent="0.25">
      <c r="A98" s="28">
        <f>LOOKUP(A97,INICIO!A$10:A$109,INICIO!C$10:C$109)</f>
        <v>30</v>
      </c>
      <c r="B98" s="31" t="str">
        <f t="shared" si="133"/>
        <v xml:space="preserve"> _empresa. = </v>
      </c>
      <c r="C98" s="23" t="str">
        <f t="shared" ref="C98" si="158">SUBSTITUTE(E98,"???",CONCATENATE(F98,G98,H98))</f>
        <v>0</v>
      </c>
      <c r="D98" s="23" t="s">
        <v>72</v>
      </c>
      <c r="E98" s="26">
        <f>LOOKUP(LISTAR!A98,AJUSTE!B:B,AJUSTE!F:F)</f>
        <v>0</v>
      </c>
      <c r="F98" s="30" t="s">
        <v>98</v>
      </c>
      <c r="G98" s="26" t="str">
        <f t="shared" ref="G98" si="159">C97</f>
        <v/>
      </c>
      <c r="H98" s="32" t="s">
        <v>99</v>
      </c>
      <c r="K98" s="38">
        <f t="shared" si="95"/>
        <v>0</v>
      </c>
      <c r="L98" s="9" t="str">
        <f t="shared" ref="L98" si="160">IF(H97,CONCATENATE("                            ",B98,C98,D98),"")</f>
        <v/>
      </c>
    </row>
    <row r="99" spans="1:12" hidden="1" x14ac:dyDescent="0.25">
      <c r="A99" s="24">
        <v>40</v>
      </c>
      <c r="B99" s="21" t="s">
        <v>93</v>
      </c>
      <c r="C99" s="25" t="str">
        <f>LOOKUP(A99,INICIO!A$10:A$109,INICIO!K$10:K$109)</f>
        <v/>
      </c>
      <c r="D99" s="22" t="s">
        <v>94</v>
      </c>
      <c r="E99" s="22"/>
      <c r="F99" s="22"/>
      <c r="G99" s="22"/>
      <c r="H99" s="34">
        <f>LOOKUP(A99,INICIO!A$10:A$109,INICIO!J$10:J$109)</f>
        <v>0</v>
      </c>
      <c r="K99" s="38">
        <f t="shared" si="95"/>
        <v>0</v>
      </c>
      <c r="L99" s="9" t="str">
        <f t="shared" ref="L99" si="161">IF(H99,CONCATENATE("                        ",B99,C99,D99),"")</f>
        <v/>
      </c>
    </row>
    <row r="100" spans="1:12" hidden="1" x14ac:dyDescent="0.25">
      <c r="A100" s="28">
        <f>LOOKUP(A99,INICIO!A$10:A$109,INICIO!C$10:C$109)</f>
        <v>30</v>
      </c>
      <c r="B100" s="31" t="str">
        <f t="shared" si="133"/>
        <v xml:space="preserve"> _empresa. = </v>
      </c>
      <c r="C100" s="23" t="str">
        <f t="shared" ref="C100" si="162">SUBSTITUTE(E100,"???",CONCATENATE(F100,G100,H100))</f>
        <v>0</v>
      </c>
      <c r="D100" s="23" t="s">
        <v>72</v>
      </c>
      <c r="E100" s="26">
        <f>LOOKUP(LISTAR!A100,AJUSTE!B:B,AJUSTE!F:F)</f>
        <v>0</v>
      </c>
      <c r="F100" s="30" t="s">
        <v>98</v>
      </c>
      <c r="G100" s="26" t="str">
        <f t="shared" ref="G100" si="163">C99</f>
        <v/>
      </c>
      <c r="H100" s="32" t="s">
        <v>99</v>
      </c>
      <c r="K100" s="38">
        <f t="shared" si="95"/>
        <v>0</v>
      </c>
      <c r="L100" s="9" t="str">
        <f t="shared" ref="L100" si="164">IF(H99,CONCATENATE("                            ",B100,C100,D100),"")</f>
        <v/>
      </c>
    </row>
    <row r="101" spans="1:12" hidden="1" x14ac:dyDescent="0.25">
      <c r="A101" s="24">
        <v>41</v>
      </c>
      <c r="B101" s="21" t="s">
        <v>93</v>
      </c>
      <c r="C101" s="25" t="str">
        <f>LOOKUP(A101,INICIO!A$10:A$109,INICIO!K$10:K$109)</f>
        <v/>
      </c>
      <c r="D101" s="22" t="s">
        <v>94</v>
      </c>
      <c r="E101" s="22"/>
      <c r="F101" s="22"/>
      <c r="G101" s="22"/>
      <c r="H101" s="34">
        <f>LOOKUP(A101,INICIO!A$10:A$109,INICIO!J$10:J$109)</f>
        <v>0</v>
      </c>
      <c r="K101" s="38">
        <f t="shared" si="95"/>
        <v>0</v>
      </c>
      <c r="L101" s="9" t="str">
        <f t="shared" ref="L101" si="165">IF(H101,CONCATENATE("                        ",B101,C101,D101),"")</f>
        <v/>
      </c>
    </row>
    <row r="102" spans="1:12" hidden="1" x14ac:dyDescent="0.25">
      <c r="A102" s="28">
        <f>LOOKUP(A101,INICIO!A$10:A$109,INICIO!C$10:C$109)</f>
        <v>30</v>
      </c>
      <c r="B102" s="31" t="str">
        <f t="shared" si="133"/>
        <v xml:space="preserve"> _empresa. = </v>
      </c>
      <c r="C102" s="23" t="str">
        <f t="shared" ref="C102" si="166">SUBSTITUTE(E102,"???",CONCATENATE(F102,G102,H102))</f>
        <v>0</v>
      </c>
      <c r="D102" s="23" t="s">
        <v>72</v>
      </c>
      <c r="E102" s="26">
        <f>LOOKUP(LISTAR!A102,AJUSTE!B:B,AJUSTE!F:F)</f>
        <v>0</v>
      </c>
      <c r="F102" s="30" t="s">
        <v>98</v>
      </c>
      <c r="G102" s="26" t="str">
        <f t="shared" ref="G102" si="167">C101</f>
        <v/>
      </c>
      <c r="H102" s="32" t="s">
        <v>99</v>
      </c>
      <c r="K102" s="38">
        <f t="shared" si="95"/>
        <v>0</v>
      </c>
      <c r="L102" s="9" t="str">
        <f t="shared" ref="L102" si="168">IF(H101,CONCATENATE("                            ",B102,C102,D102),"")</f>
        <v/>
      </c>
    </row>
    <row r="103" spans="1:12" hidden="1" x14ac:dyDescent="0.25">
      <c r="A103" s="24">
        <v>42</v>
      </c>
      <c r="B103" s="21" t="s">
        <v>93</v>
      </c>
      <c r="C103" s="25" t="str">
        <f>LOOKUP(A103,INICIO!A$10:A$109,INICIO!K$10:K$109)</f>
        <v/>
      </c>
      <c r="D103" s="22" t="s">
        <v>94</v>
      </c>
      <c r="E103" s="22"/>
      <c r="F103" s="22"/>
      <c r="G103" s="22"/>
      <c r="H103" s="34">
        <f>LOOKUP(A103,INICIO!A$10:A$109,INICIO!J$10:J$109)</f>
        <v>0</v>
      </c>
      <c r="K103" s="38">
        <f t="shared" si="95"/>
        <v>0</v>
      </c>
      <c r="L103" s="9" t="str">
        <f t="shared" ref="L103" si="169">IF(H103,CONCATENATE("                        ",B103,C103,D103),"")</f>
        <v/>
      </c>
    </row>
    <row r="104" spans="1:12" hidden="1" x14ac:dyDescent="0.25">
      <c r="A104" s="28">
        <f>LOOKUP(A103,INICIO!A$10:A$109,INICIO!C$10:C$109)</f>
        <v>30</v>
      </c>
      <c r="B104" s="31" t="str">
        <f t="shared" si="133"/>
        <v xml:space="preserve"> _empresa. = </v>
      </c>
      <c r="C104" s="23" t="str">
        <f t="shared" ref="C104" si="170">SUBSTITUTE(E104,"???",CONCATENATE(F104,G104,H104))</f>
        <v>0</v>
      </c>
      <c r="D104" s="23" t="s">
        <v>72</v>
      </c>
      <c r="E104" s="26">
        <f>LOOKUP(LISTAR!A104,AJUSTE!B:B,AJUSTE!F:F)</f>
        <v>0</v>
      </c>
      <c r="F104" s="30" t="s">
        <v>98</v>
      </c>
      <c r="G104" s="26" t="str">
        <f t="shared" ref="G104" si="171">C103</f>
        <v/>
      </c>
      <c r="H104" s="32" t="s">
        <v>99</v>
      </c>
      <c r="K104" s="38">
        <f t="shared" si="95"/>
        <v>0</v>
      </c>
      <c r="L104" s="9" t="str">
        <f t="shared" ref="L104" si="172">IF(H103,CONCATENATE("                            ",B104,C104,D104),"")</f>
        <v/>
      </c>
    </row>
    <row r="105" spans="1:12" hidden="1" x14ac:dyDescent="0.25">
      <c r="A105" s="24">
        <v>43</v>
      </c>
      <c r="B105" s="21" t="s">
        <v>93</v>
      </c>
      <c r="C105" s="25" t="str">
        <f>LOOKUP(A105,INICIO!A$10:A$109,INICIO!K$10:K$109)</f>
        <v/>
      </c>
      <c r="D105" s="22" t="s">
        <v>94</v>
      </c>
      <c r="E105" s="22"/>
      <c r="F105" s="22"/>
      <c r="G105" s="22"/>
      <c r="H105" s="34">
        <f>LOOKUP(A105,INICIO!A$10:A$109,INICIO!J$10:J$109)</f>
        <v>0</v>
      </c>
      <c r="K105" s="38">
        <f t="shared" si="95"/>
        <v>0</v>
      </c>
      <c r="L105" s="9" t="str">
        <f t="shared" ref="L105" si="173">IF(H105,CONCATENATE("                        ",B105,C105,D105),"")</f>
        <v/>
      </c>
    </row>
    <row r="106" spans="1:12" hidden="1" x14ac:dyDescent="0.25">
      <c r="A106" s="28">
        <f>LOOKUP(A105,INICIO!A$10:A$109,INICIO!C$10:C$109)</f>
        <v>30</v>
      </c>
      <c r="B106" s="31" t="str">
        <f t="shared" si="133"/>
        <v xml:space="preserve"> _empresa. = </v>
      </c>
      <c r="C106" s="23" t="str">
        <f t="shared" ref="C106" si="174">SUBSTITUTE(E106,"???",CONCATENATE(F106,G106,H106))</f>
        <v>0</v>
      </c>
      <c r="D106" s="23" t="s">
        <v>72</v>
      </c>
      <c r="E106" s="26">
        <f>LOOKUP(LISTAR!A106,AJUSTE!B:B,AJUSTE!F:F)</f>
        <v>0</v>
      </c>
      <c r="F106" s="30" t="s">
        <v>98</v>
      </c>
      <c r="G106" s="26" t="str">
        <f t="shared" ref="G106" si="175">C105</f>
        <v/>
      </c>
      <c r="H106" s="32" t="s">
        <v>99</v>
      </c>
      <c r="K106" s="38">
        <f t="shared" si="95"/>
        <v>0</v>
      </c>
      <c r="L106" s="9" t="str">
        <f t="shared" ref="L106" si="176">IF(H105,CONCATENATE("                            ",B106,C106,D106),"")</f>
        <v/>
      </c>
    </row>
    <row r="107" spans="1:12" hidden="1" x14ac:dyDescent="0.25">
      <c r="A107" s="24">
        <v>44</v>
      </c>
      <c r="B107" s="21" t="s">
        <v>93</v>
      </c>
      <c r="C107" s="25" t="str">
        <f>LOOKUP(A107,INICIO!A$10:A$109,INICIO!K$10:K$109)</f>
        <v/>
      </c>
      <c r="D107" s="22" t="s">
        <v>94</v>
      </c>
      <c r="E107" s="22"/>
      <c r="F107" s="22"/>
      <c r="G107" s="22"/>
      <c r="H107" s="34">
        <f>LOOKUP(A107,INICIO!A$10:A$109,INICIO!J$10:J$109)</f>
        <v>0</v>
      </c>
      <c r="K107" s="38">
        <f t="shared" si="95"/>
        <v>0</v>
      </c>
      <c r="L107" s="9" t="str">
        <f t="shared" ref="L107" si="177">IF(H107,CONCATENATE("                        ",B107,C107,D107),"")</f>
        <v/>
      </c>
    </row>
    <row r="108" spans="1:12" hidden="1" x14ac:dyDescent="0.25">
      <c r="A108" s="28">
        <f>LOOKUP(A107,INICIO!A$10:A$109,INICIO!C$10:C$109)</f>
        <v>30</v>
      </c>
      <c r="B108" s="31" t="str">
        <f t="shared" si="133"/>
        <v xml:space="preserve"> _empresa. = </v>
      </c>
      <c r="C108" s="23" t="str">
        <f t="shared" ref="C108" si="178">SUBSTITUTE(E108,"???",CONCATENATE(F108,G108,H108))</f>
        <v>0</v>
      </c>
      <c r="D108" s="23" t="s">
        <v>72</v>
      </c>
      <c r="E108" s="26">
        <f>LOOKUP(LISTAR!A108,AJUSTE!B:B,AJUSTE!F:F)</f>
        <v>0</v>
      </c>
      <c r="F108" s="30" t="s">
        <v>98</v>
      </c>
      <c r="G108" s="26" t="str">
        <f t="shared" ref="G108" si="179">C107</f>
        <v/>
      </c>
      <c r="H108" s="32" t="s">
        <v>99</v>
      </c>
      <c r="K108" s="38">
        <f t="shared" si="95"/>
        <v>0</v>
      </c>
      <c r="L108" s="9" t="str">
        <f t="shared" ref="L108" si="180">IF(H107,CONCATENATE("                            ",B108,C108,D108),"")</f>
        <v/>
      </c>
    </row>
    <row r="109" spans="1:12" hidden="1" x14ac:dyDescent="0.25">
      <c r="A109" s="24">
        <v>45</v>
      </c>
      <c r="B109" s="21" t="s">
        <v>93</v>
      </c>
      <c r="C109" s="25" t="str">
        <f>LOOKUP(A109,INICIO!A$10:A$109,INICIO!K$10:K$109)</f>
        <v/>
      </c>
      <c r="D109" s="22" t="s">
        <v>94</v>
      </c>
      <c r="E109" s="22"/>
      <c r="F109" s="22"/>
      <c r="G109" s="22"/>
      <c r="H109" s="34">
        <f>LOOKUP(A109,INICIO!A$10:A$109,INICIO!J$10:J$109)</f>
        <v>0</v>
      </c>
      <c r="K109" s="38">
        <f t="shared" si="95"/>
        <v>0</v>
      </c>
      <c r="L109" s="9" t="str">
        <f t="shared" ref="L109" si="181">IF(H109,CONCATENATE("                        ",B109,C109,D109),"")</f>
        <v/>
      </c>
    </row>
    <row r="110" spans="1:12" hidden="1" x14ac:dyDescent="0.25">
      <c r="A110" s="28">
        <f>LOOKUP(A109,INICIO!A$10:A$109,INICIO!C$10:C$109)</f>
        <v>30</v>
      </c>
      <c r="B110" s="31" t="str">
        <f t="shared" si="133"/>
        <v xml:space="preserve"> _empresa. = </v>
      </c>
      <c r="C110" s="23" t="str">
        <f t="shared" ref="C110" si="182">SUBSTITUTE(E110,"???",CONCATENATE(F110,G110,H110))</f>
        <v>0</v>
      </c>
      <c r="D110" s="23" t="s">
        <v>72</v>
      </c>
      <c r="E110" s="26">
        <f>LOOKUP(LISTAR!A110,AJUSTE!B:B,AJUSTE!F:F)</f>
        <v>0</v>
      </c>
      <c r="F110" s="30" t="s">
        <v>98</v>
      </c>
      <c r="G110" s="26" t="str">
        <f t="shared" ref="G110" si="183">C109</f>
        <v/>
      </c>
      <c r="H110" s="32" t="s">
        <v>99</v>
      </c>
      <c r="K110" s="38">
        <f t="shared" si="95"/>
        <v>0</v>
      </c>
      <c r="L110" s="9" t="str">
        <f t="shared" ref="L110" si="184">IF(H109,CONCATENATE("                            ",B110,C110,D110),"")</f>
        <v/>
      </c>
    </row>
    <row r="111" spans="1:12" hidden="1" x14ac:dyDescent="0.25">
      <c r="A111" s="24">
        <v>46</v>
      </c>
      <c r="B111" s="21" t="s">
        <v>93</v>
      </c>
      <c r="C111" s="25" t="str">
        <f>LOOKUP(A111,INICIO!A$10:A$109,INICIO!K$10:K$109)</f>
        <v/>
      </c>
      <c r="D111" s="22" t="s">
        <v>94</v>
      </c>
      <c r="E111" s="22"/>
      <c r="F111" s="22"/>
      <c r="G111" s="22"/>
      <c r="H111" s="34">
        <f>LOOKUP(A111,INICIO!A$10:A$109,INICIO!J$10:J$109)</f>
        <v>0</v>
      </c>
      <c r="K111" s="38">
        <f t="shared" si="95"/>
        <v>0</v>
      </c>
      <c r="L111" s="9" t="str">
        <f t="shared" ref="L111" si="185">IF(H111,CONCATENATE("                        ",B111,C111,D111),"")</f>
        <v/>
      </c>
    </row>
    <row r="112" spans="1:12" hidden="1" x14ac:dyDescent="0.25">
      <c r="A112" s="28">
        <f>LOOKUP(A111,INICIO!A$10:A$109,INICIO!C$10:C$109)</f>
        <v>30</v>
      </c>
      <c r="B112" s="31" t="str">
        <f t="shared" si="133"/>
        <v xml:space="preserve"> _empresa. = </v>
      </c>
      <c r="C112" s="23" t="str">
        <f t="shared" ref="C112" si="186">SUBSTITUTE(E112,"???",CONCATENATE(F112,G112,H112))</f>
        <v>0</v>
      </c>
      <c r="D112" s="23" t="s">
        <v>72</v>
      </c>
      <c r="E112" s="26">
        <f>LOOKUP(LISTAR!A112,AJUSTE!B:B,AJUSTE!F:F)</f>
        <v>0</v>
      </c>
      <c r="F112" s="30" t="s">
        <v>98</v>
      </c>
      <c r="G112" s="26" t="str">
        <f t="shared" ref="G112" si="187">C111</f>
        <v/>
      </c>
      <c r="H112" s="32" t="s">
        <v>99</v>
      </c>
      <c r="K112" s="38">
        <f t="shared" si="95"/>
        <v>0</v>
      </c>
      <c r="L112" s="9" t="str">
        <f t="shared" ref="L112" si="188">IF(H111,CONCATENATE("                            ",B112,C112,D112),"")</f>
        <v/>
      </c>
    </row>
    <row r="113" spans="1:12" hidden="1" x14ac:dyDescent="0.25">
      <c r="A113" s="24">
        <v>47</v>
      </c>
      <c r="B113" s="21" t="s">
        <v>93</v>
      </c>
      <c r="C113" s="25" t="str">
        <f>LOOKUP(A113,INICIO!A$10:A$109,INICIO!K$10:K$109)</f>
        <v/>
      </c>
      <c r="D113" s="22" t="s">
        <v>94</v>
      </c>
      <c r="E113" s="22"/>
      <c r="F113" s="22"/>
      <c r="G113" s="22"/>
      <c r="H113" s="34">
        <f>LOOKUP(A113,INICIO!A$10:A$109,INICIO!J$10:J$109)</f>
        <v>0</v>
      </c>
      <c r="K113" s="38">
        <f t="shared" si="95"/>
        <v>0</v>
      </c>
      <c r="L113" s="9" t="str">
        <f t="shared" ref="L113" si="189">IF(H113,CONCATENATE("                        ",B113,C113,D113),"")</f>
        <v/>
      </c>
    </row>
    <row r="114" spans="1:12" hidden="1" x14ac:dyDescent="0.25">
      <c r="A114" s="28">
        <f>LOOKUP(A113,INICIO!A$10:A$109,INICIO!C$10:C$109)</f>
        <v>30</v>
      </c>
      <c r="B114" s="31" t="str">
        <f t="shared" si="133"/>
        <v xml:space="preserve"> _empresa. = </v>
      </c>
      <c r="C114" s="23" t="str">
        <f t="shared" ref="C114" si="190">SUBSTITUTE(E114,"???",CONCATENATE(F114,G114,H114))</f>
        <v>0</v>
      </c>
      <c r="D114" s="23" t="s">
        <v>72</v>
      </c>
      <c r="E114" s="26">
        <f>LOOKUP(LISTAR!A114,AJUSTE!B:B,AJUSTE!F:F)</f>
        <v>0</v>
      </c>
      <c r="F114" s="30" t="s">
        <v>98</v>
      </c>
      <c r="G114" s="26" t="str">
        <f t="shared" ref="G114" si="191">C113</f>
        <v/>
      </c>
      <c r="H114" s="32" t="s">
        <v>99</v>
      </c>
      <c r="K114" s="38">
        <f t="shared" si="95"/>
        <v>0</v>
      </c>
      <c r="L114" s="9" t="str">
        <f t="shared" ref="L114" si="192">IF(H113,CONCATENATE("                            ",B114,C114,D114),"")</f>
        <v/>
      </c>
    </row>
    <row r="115" spans="1:12" hidden="1" x14ac:dyDescent="0.25">
      <c r="A115" s="24">
        <v>48</v>
      </c>
      <c r="B115" s="21" t="s">
        <v>93</v>
      </c>
      <c r="C115" s="25" t="str">
        <f>LOOKUP(A115,INICIO!A$10:A$109,INICIO!K$10:K$109)</f>
        <v/>
      </c>
      <c r="D115" s="22" t="s">
        <v>94</v>
      </c>
      <c r="E115" s="22"/>
      <c r="F115" s="22"/>
      <c r="G115" s="22"/>
      <c r="H115" s="34">
        <f>LOOKUP(A115,INICIO!A$10:A$109,INICIO!J$10:J$109)</f>
        <v>0</v>
      </c>
      <c r="K115" s="38">
        <f t="shared" si="95"/>
        <v>0</v>
      </c>
      <c r="L115" s="9" t="str">
        <f t="shared" ref="L115" si="193">IF(H115,CONCATENATE("                        ",B115,C115,D115),"")</f>
        <v/>
      </c>
    </row>
    <row r="116" spans="1:12" hidden="1" x14ac:dyDescent="0.25">
      <c r="A116" s="28">
        <f>LOOKUP(A115,INICIO!A$10:A$109,INICIO!C$10:C$109)</f>
        <v>30</v>
      </c>
      <c r="B116" s="31" t="str">
        <f t="shared" si="133"/>
        <v xml:space="preserve"> _empresa. = </v>
      </c>
      <c r="C116" s="23" t="str">
        <f t="shared" ref="C116" si="194">SUBSTITUTE(E116,"???",CONCATENATE(F116,G116,H116))</f>
        <v>0</v>
      </c>
      <c r="D116" s="23" t="s">
        <v>72</v>
      </c>
      <c r="E116" s="26">
        <f>LOOKUP(LISTAR!A116,AJUSTE!B:B,AJUSTE!F:F)</f>
        <v>0</v>
      </c>
      <c r="F116" s="30" t="s">
        <v>98</v>
      </c>
      <c r="G116" s="26" t="str">
        <f t="shared" ref="G116" si="195">C115</f>
        <v/>
      </c>
      <c r="H116" s="32" t="s">
        <v>99</v>
      </c>
      <c r="K116" s="38">
        <f t="shared" si="95"/>
        <v>0</v>
      </c>
      <c r="L116" s="9" t="str">
        <f t="shared" ref="L116" si="196">IF(H115,CONCATENATE("                            ",B116,C116,D116),"")</f>
        <v/>
      </c>
    </row>
    <row r="117" spans="1:12" hidden="1" x14ac:dyDescent="0.25">
      <c r="A117" s="24">
        <v>49</v>
      </c>
      <c r="B117" s="21" t="s">
        <v>93</v>
      </c>
      <c r="C117" s="25" t="str">
        <f>LOOKUP(A117,INICIO!A$10:A$109,INICIO!K$10:K$109)</f>
        <v/>
      </c>
      <c r="D117" s="22" t="s">
        <v>94</v>
      </c>
      <c r="E117" s="22"/>
      <c r="F117" s="22"/>
      <c r="G117" s="22"/>
      <c r="H117" s="34">
        <f>LOOKUP(A117,INICIO!A$10:A$109,INICIO!J$10:J$109)</f>
        <v>0</v>
      </c>
      <c r="K117" s="38">
        <f t="shared" si="95"/>
        <v>0</v>
      </c>
      <c r="L117" s="9" t="str">
        <f t="shared" ref="L117" si="197">IF(H117,CONCATENATE("                        ",B117,C117,D117),"")</f>
        <v/>
      </c>
    </row>
    <row r="118" spans="1:12" hidden="1" x14ac:dyDescent="0.25">
      <c r="A118" s="28">
        <f>LOOKUP(A117,INICIO!A$10:A$109,INICIO!C$10:C$109)</f>
        <v>30</v>
      </c>
      <c r="B118" s="31" t="str">
        <f t="shared" si="133"/>
        <v xml:space="preserve"> _empresa. = </v>
      </c>
      <c r="C118" s="23" t="str">
        <f t="shared" ref="C118" si="198">SUBSTITUTE(E118,"???",CONCATENATE(F118,G118,H118))</f>
        <v>0</v>
      </c>
      <c r="D118" s="23" t="s">
        <v>72</v>
      </c>
      <c r="E118" s="26">
        <f>LOOKUP(LISTAR!A118,AJUSTE!B:B,AJUSTE!F:F)</f>
        <v>0</v>
      </c>
      <c r="F118" s="30" t="s">
        <v>98</v>
      </c>
      <c r="G118" s="26" t="str">
        <f t="shared" ref="G118" si="199">C117</f>
        <v/>
      </c>
      <c r="H118" s="32" t="s">
        <v>99</v>
      </c>
      <c r="K118" s="38">
        <f t="shared" si="95"/>
        <v>0</v>
      </c>
      <c r="L118" s="9" t="str">
        <f t="shared" ref="L118" si="200">IF(H117,CONCATENATE("                            ",B118,C118,D118),"")</f>
        <v/>
      </c>
    </row>
    <row r="119" spans="1:12" hidden="1" x14ac:dyDescent="0.25">
      <c r="A119" s="24">
        <v>50</v>
      </c>
      <c r="B119" s="21" t="s">
        <v>93</v>
      </c>
      <c r="C119" s="25" t="str">
        <f>LOOKUP(A119,INICIO!A$10:A$109,INICIO!K$10:K$109)</f>
        <v/>
      </c>
      <c r="D119" s="22" t="s">
        <v>94</v>
      </c>
      <c r="E119" s="22"/>
      <c r="F119" s="22"/>
      <c r="G119" s="22"/>
      <c r="H119" s="34">
        <f>LOOKUP(A119,INICIO!A$10:A$109,INICIO!J$10:J$109)</f>
        <v>0</v>
      </c>
      <c r="K119" s="38">
        <f t="shared" si="95"/>
        <v>0</v>
      </c>
      <c r="L119" s="9" t="str">
        <f t="shared" ref="L119" si="201">IF(H119,CONCATENATE("                        ",B119,C119,D119),"")</f>
        <v/>
      </c>
    </row>
    <row r="120" spans="1:12" hidden="1" x14ac:dyDescent="0.25">
      <c r="A120" s="28">
        <f>LOOKUP(A119,INICIO!A$10:A$109,INICIO!C$10:C$109)</f>
        <v>30</v>
      </c>
      <c r="B120" s="31" t="str">
        <f t="shared" si="133"/>
        <v xml:space="preserve"> _empresa. = </v>
      </c>
      <c r="C120" s="23" t="str">
        <f t="shared" ref="C120" si="202">SUBSTITUTE(E120,"???",CONCATENATE(F120,G120,H120))</f>
        <v>0</v>
      </c>
      <c r="D120" s="23" t="s">
        <v>72</v>
      </c>
      <c r="E120" s="26">
        <f>LOOKUP(LISTAR!A120,AJUSTE!B:B,AJUSTE!F:F)</f>
        <v>0</v>
      </c>
      <c r="F120" s="30" t="s">
        <v>98</v>
      </c>
      <c r="G120" s="26" t="str">
        <f t="shared" ref="G120" si="203">C119</f>
        <v/>
      </c>
      <c r="H120" s="32" t="s">
        <v>99</v>
      </c>
      <c r="K120" s="38">
        <f t="shared" si="95"/>
        <v>0</v>
      </c>
      <c r="L120" s="9" t="str">
        <f t="shared" ref="L120" si="204">IF(H119,CONCATENATE("                            ",B120,C120,D120),"")</f>
        <v/>
      </c>
    </row>
    <row r="121" spans="1:12" hidden="1" x14ac:dyDescent="0.25">
      <c r="A121" s="24">
        <v>51</v>
      </c>
      <c r="B121" s="21" t="s">
        <v>93</v>
      </c>
      <c r="C121" s="25" t="str">
        <f>LOOKUP(A121,INICIO!A$10:A$109,INICIO!K$10:K$109)</f>
        <v/>
      </c>
      <c r="D121" s="22" t="s">
        <v>94</v>
      </c>
      <c r="E121" s="22"/>
      <c r="F121" s="22"/>
      <c r="G121" s="22"/>
      <c r="H121" s="34">
        <f>LOOKUP(A121,INICIO!A$10:A$109,INICIO!J$10:J$109)</f>
        <v>0</v>
      </c>
      <c r="K121" s="38">
        <f t="shared" si="95"/>
        <v>0</v>
      </c>
      <c r="L121" s="9" t="str">
        <f t="shared" ref="L121" si="205">IF(H121,CONCATENATE("                        ",B121,C121,D121),"")</f>
        <v/>
      </c>
    </row>
    <row r="122" spans="1:12" hidden="1" x14ac:dyDescent="0.25">
      <c r="A122" s="28">
        <f>LOOKUP(A121,INICIO!A$10:A$109,INICIO!C$10:C$109)</f>
        <v>30</v>
      </c>
      <c r="B122" s="31" t="str">
        <f t="shared" si="133"/>
        <v xml:space="preserve"> _empresa. = </v>
      </c>
      <c r="C122" s="23" t="str">
        <f t="shared" ref="C122" si="206">SUBSTITUTE(E122,"???",CONCATENATE(F122,G122,H122))</f>
        <v>0</v>
      </c>
      <c r="D122" s="23" t="s">
        <v>72</v>
      </c>
      <c r="E122" s="26">
        <f>LOOKUP(LISTAR!A122,AJUSTE!B:B,AJUSTE!F:F)</f>
        <v>0</v>
      </c>
      <c r="F122" s="30" t="s">
        <v>98</v>
      </c>
      <c r="G122" s="26" t="str">
        <f t="shared" ref="G122" si="207">C121</f>
        <v/>
      </c>
      <c r="H122" s="32" t="s">
        <v>99</v>
      </c>
      <c r="K122" s="38">
        <f t="shared" si="95"/>
        <v>0</v>
      </c>
      <c r="L122" s="9" t="str">
        <f t="shared" ref="L122" si="208">IF(H121,CONCATENATE("                            ",B122,C122,D122),"")</f>
        <v/>
      </c>
    </row>
    <row r="123" spans="1:12" hidden="1" x14ac:dyDescent="0.25">
      <c r="A123" s="24">
        <v>52</v>
      </c>
      <c r="B123" s="21" t="s">
        <v>93</v>
      </c>
      <c r="C123" s="25" t="str">
        <f>LOOKUP(A123,INICIO!A$10:A$109,INICIO!K$10:K$109)</f>
        <v/>
      </c>
      <c r="D123" s="22" t="s">
        <v>94</v>
      </c>
      <c r="E123" s="22"/>
      <c r="F123" s="22"/>
      <c r="G123" s="22"/>
      <c r="H123" s="34">
        <f>LOOKUP(A123,INICIO!A$10:A$109,INICIO!J$10:J$109)</f>
        <v>0</v>
      </c>
      <c r="K123" s="38">
        <f t="shared" si="95"/>
        <v>0</v>
      </c>
      <c r="L123" s="9" t="str">
        <f t="shared" ref="L123" si="209">IF(H123,CONCATENATE("                        ",B123,C123,D123),"")</f>
        <v/>
      </c>
    </row>
    <row r="124" spans="1:12" hidden="1" x14ac:dyDescent="0.25">
      <c r="A124" s="28">
        <f>LOOKUP(A123,INICIO!A$10:A$109,INICIO!C$10:C$109)</f>
        <v>30</v>
      </c>
      <c r="B124" s="31" t="str">
        <f t="shared" si="133"/>
        <v xml:space="preserve"> _empresa. = </v>
      </c>
      <c r="C124" s="23" t="str">
        <f t="shared" ref="C124" si="210">SUBSTITUTE(E124,"???",CONCATENATE(F124,G124,H124))</f>
        <v>0</v>
      </c>
      <c r="D124" s="23" t="s">
        <v>72</v>
      </c>
      <c r="E124" s="26">
        <f>LOOKUP(LISTAR!A124,AJUSTE!B:B,AJUSTE!F:F)</f>
        <v>0</v>
      </c>
      <c r="F124" s="30" t="s">
        <v>98</v>
      </c>
      <c r="G124" s="26" t="str">
        <f t="shared" ref="G124" si="211">C123</f>
        <v/>
      </c>
      <c r="H124" s="32" t="s">
        <v>99</v>
      </c>
      <c r="K124" s="38">
        <f t="shared" si="95"/>
        <v>0</v>
      </c>
      <c r="L124" s="9" t="str">
        <f t="shared" ref="L124" si="212">IF(H123,CONCATENATE("                            ",B124,C124,D124),"")</f>
        <v/>
      </c>
    </row>
    <row r="125" spans="1:12" hidden="1" x14ac:dyDescent="0.25">
      <c r="A125" s="24">
        <v>53</v>
      </c>
      <c r="B125" s="21" t="s">
        <v>93</v>
      </c>
      <c r="C125" s="25" t="str">
        <f>LOOKUP(A125,INICIO!A$10:A$109,INICIO!K$10:K$109)</f>
        <v/>
      </c>
      <c r="D125" s="22" t="s">
        <v>94</v>
      </c>
      <c r="E125" s="22"/>
      <c r="F125" s="22"/>
      <c r="G125" s="22"/>
      <c r="H125" s="34">
        <f>LOOKUP(A125,INICIO!A$10:A$109,INICIO!J$10:J$109)</f>
        <v>0</v>
      </c>
      <c r="K125" s="38">
        <f t="shared" si="95"/>
        <v>0</v>
      </c>
      <c r="L125" s="9" t="str">
        <f t="shared" ref="L125" si="213">IF(H125,CONCATENATE("                        ",B125,C125,D125),"")</f>
        <v/>
      </c>
    </row>
    <row r="126" spans="1:12" hidden="1" x14ac:dyDescent="0.25">
      <c r="A126" s="28">
        <f>LOOKUP(A125,INICIO!A$10:A$109,INICIO!C$10:C$109)</f>
        <v>30</v>
      </c>
      <c r="B126" s="31" t="str">
        <f t="shared" si="133"/>
        <v xml:space="preserve"> _empresa. = </v>
      </c>
      <c r="C126" s="23" t="str">
        <f t="shared" ref="C126" si="214">SUBSTITUTE(E126,"???",CONCATENATE(F126,G126,H126))</f>
        <v>0</v>
      </c>
      <c r="D126" s="23" t="s">
        <v>72</v>
      </c>
      <c r="E126" s="26">
        <f>LOOKUP(LISTAR!A126,AJUSTE!B:B,AJUSTE!F:F)</f>
        <v>0</v>
      </c>
      <c r="F126" s="30" t="s">
        <v>98</v>
      </c>
      <c r="G126" s="26" t="str">
        <f t="shared" ref="G126" si="215">C125</f>
        <v/>
      </c>
      <c r="H126" s="32" t="s">
        <v>99</v>
      </c>
      <c r="K126" s="38">
        <f t="shared" si="95"/>
        <v>0</v>
      </c>
      <c r="L126" s="9" t="str">
        <f t="shared" ref="L126" si="216">IF(H125,CONCATENATE("                            ",B126,C126,D126),"")</f>
        <v/>
      </c>
    </row>
    <row r="127" spans="1:12" hidden="1" x14ac:dyDescent="0.25">
      <c r="A127" s="24">
        <v>54</v>
      </c>
      <c r="B127" s="21" t="s">
        <v>93</v>
      </c>
      <c r="C127" s="25" t="str">
        <f>LOOKUP(A127,INICIO!A$10:A$109,INICIO!K$10:K$109)</f>
        <v/>
      </c>
      <c r="D127" s="22" t="s">
        <v>94</v>
      </c>
      <c r="E127" s="22"/>
      <c r="F127" s="22"/>
      <c r="G127" s="22"/>
      <c r="H127" s="34">
        <f>LOOKUP(A127,INICIO!A$10:A$109,INICIO!J$10:J$109)</f>
        <v>0</v>
      </c>
      <c r="K127" s="38">
        <f t="shared" si="95"/>
        <v>0</v>
      </c>
      <c r="L127" s="9" t="str">
        <f t="shared" ref="L127" si="217">IF(H127,CONCATENATE("                        ",B127,C127,D127),"")</f>
        <v/>
      </c>
    </row>
    <row r="128" spans="1:12" hidden="1" x14ac:dyDescent="0.25">
      <c r="A128" s="28">
        <f>LOOKUP(A127,INICIO!A$10:A$109,INICIO!C$10:C$109)</f>
        <v>30</v>
      </c>
      <c r="B128" s="31" t="str">
        <f t="shared" si="133"/>
        <v xml:space="preserve"> _empresa. = </v>
      </c>
      <c r="C128" s="23" t="str">
        <f t="shared" ref="C128" si="218">SUBSTITUTE(E128,"???",CONCATENATE(F128,G128,H128))</f>
        <v>0</v>
      </c>
      <c r="D128" s="23" t="s">
        <v>72</v>
      </c>
      <c r="E128" s="26">
        <f>LOOKUP(LISTAR!A128,AJUSTE!B:B,AJUSTE!F:F)</f>
        <v>0</v>
      </c>
      <c r="F128" s="30" t="s">
        <v>98</v>
      </c>
      <c r="G128" s="26" t="str">
        <f t="shared" ref="G128" si="219">C127</f>
        <v/>
      </c>
      <c r="H128" s="32" t="s">
        <v>99</v>
      </c>
      <c r="K128" s="38">
        <f t="shared" si="95"/>
        <v>0</v>
      </c>
      <c r="L128" s="9" t="str">
        <f t="shared" ref="L128" si="220">IF(H127,CONCATENATE("                            ",B128,C128,D128),"")</f>
        <v/>
      </c>
    </row>
    <row r="129" spans="1:12" hidden="1" x14ac:dyDescent="0.25">
      <c r="A129" s="24">
        <v>55</v>
      </c>
      <c r="B129" s="21" t="s">
        <v>93</v>
      </c>
      <c r="C129" s="25" t="str">
        <f>LOOKUP(A129,INICIO!A$10:A$109,INICIO!K$10:K$109)</f>
        <v/>
      </c>
      <c r="D129" s="22" t="s">
        <v>94</v>
      </c>
      <c r="E129" s="22"/>
      <c r="F129" s="22"/>
      <c r="G129" s="22"/>
      <c r="H129" s="34">
        <f>LOOKUP(A129,INICIO!A$10:A$109,INICIO!J$10:J$109)</f>
        <v>0</v>
      </c>
      <c r="K129" s="38">
        <f t="shared" si="95"/>
        <v>0</v>
      </c>
      <c r="L129" s="9" t="str">
        <f t="shared" ref="L129" si="221">IF(H129,CONCATENATE("                        ",B129,C129,D129),"")</f>
        <v/>
      </c>
    </row>
    <row r="130" spans="1:12" hidden="1" x14ac:dyDescent="0.25">
      <c r="A130" s="28">
        <f>LOOKUP(A129,INICIO!A$10:A$109,INICIO!C$10:C$109)</f>
        <v>30</v>
      </c>
      <c r="B130" s="31" t="str">
        <f t="shared" si="133"/>
        <v xml:space="preserve"> _empresa. = </v>
      </c>
      <c r="C130" s="23" t="str">
        <f t="shared" ref="C130" si="222">SUBSTITUTE(E130,"???",CONCATENATE(F130,G130,H130))</f>
        <v>0</v>
      </c>
      <c r="D130" s="23" t="s">
        <v>72</v>
      </c>
      <c r="E130" s="26">
        <f>LOOKUP(LISTAR!A130,AJUSTE!B:B,AJUSTE!F:F)</f>
        <v>0</v>
      </c>
      <c r="F130" s="30" t="s">
        <v>98</v>
      </c>
      <c r="G130" s="26" t="str">
        <f t="shared" ref="G130" si="223">C129</f>
        <v/>
      </c>
      <c r="H130" s="32" t="s">
        <v>99</v>
      </c>
      <c r="K130" s="38">
        <f t="shared" si="95"/>
        <v>0</v>
      </c>
      <c r="L130" s="9" t="str">
        <f t="shared" ref="L130" si="224">IF(H129,CONCATENATE("                            ",B130,C130,D130),"")</f>
        <v/>
      </c>
    </row>
    <row r="131" spans="1:12" hidden="1" x14ac:dyDescent="0.25">
      <c r="A131" s="24">
        <v>56</v>
      </c>
      <c r="B131" s="21" t="s">
        <v>93</v>
      </c>
      <c r="C131" s="25" t="str">
        <f>LOOKUP(A131,INICIO!A$10:A$109,INICIO!K$10:K$109)</f>
        <v/>
      </c>
      <c r="D131" s="22" t="s">
        <v>94</v>
      </c>
      <c r="E131" s="22"/>
      <c r="F131" s="22"/>
      <c r="G131" s="22"/>
      <c r="H131" s="34">
        <f>LOOKUP(A131,INICIO!A$10:A$109,INICIO!J$10:J$109)</f>
        <v>0</v>
      </c>
      <c r="K131" s="38">
        <f t="shared" ref="K131:K194" si="225">IF(L131&lt;&gt;"",1,0)</f>
        <v>0</v>
      </c>
      <c r="L131" s="9" t="str">
        <f t="shared" ref="L131" si="226">IF(H131,CONCATENATE("                        ",B131,C131,D131),"")</f>
        <v/>
      </c>
    </row>
    <row r="132" spans="1:12" hidden="1" x14ac:dyDescent="0.25">
      <c r="A132" s="28">
        <f>LOOKUP(A131,INICIO!A$10:A$109,INICIO!C$10:C$109)</f>
        <v>30</v>
      </c>
      <c r="B132" s="31" t="str">
        <f t="shared" si="133"/>
        <v xml:space="preserve"> _empresa. = </v>
      </c>
      <c r="C132" s="23" t="str">
        <f t="shared" ref="C132" si="227">SUBSTITUTE(E132,"???",CONCATENATE(F132,G132,H132))</f>
        <v>0</v>
      </c>
      <c r="D132" s="23" t="s">
        <v>72</v>
      </c>
      <c r="E132" s="26">
        <f>LOOKUP(LISTAR!A132,AJUSTE!B:B,AJUSTE!F:F)</f>
        <v>0</v>
      </c>
      <c r="F132" s="30" t="s">
        <v>98</v>
      </c>
      <c r="G132" s="26" t="str">
        <f t="shared" ref="G132" si="228">C131</f>
        <v/>
      </c>
      <c r="H132" s="32" t="s">
        <v>99</v>
      </c>
      <c r="K132" s="38">
        <f t="shared" si="225"/>
        <v>0</v>
      </c>
      <c r="L132" s="9" t="str">
        <f t="shared" ref="L132" si="229">IF(H131,CONCATENATE("                            ",B132,C132,D132),"")</f>
        <v/>
      </c>
    </row>
    <row r="133" spans="1:12" hidden="1" x14ac:dyDescent="0.25">
      <c r="A133" s="24">
        <v>57</v>
      </c>
      <c r="B133" s="21" t="s">
        <v>93</v>
      </c>
      <c r="C133" s="25" t="str">
        <f>LOOKUP(A133,INICIO!A$10:A$109,INICIO!K$10:K$109)</f>
        <v/>
      </c>
      <c r="D133" s="22" t="s">
        <v>94</v>
      </c>
      <c r="E133" s="22"/>
      <c r="F133" s="22"/>
      <c r="G133" s="22"/>
      <c r="H133" s="34">
        <f>LOOKUP(A133,INICIO!A$10:A$109,INICIO!J$10:J$109)</f>
        <v>0</v>
      </c>
      <c r="K133" s="38">
        <f t="shared" si="225"/>
        <v>0</v>
      </c>
      <c r="L133" s="9" t="str">
        <f t="shared" ref="L133" si="230">IF(H133,CONCATENATE("                        ",B133,C133,D133),"")</f>
        <v/>
      </c>
    </row>
    <row r="134" spans="1:12" hidden="1" x14ac:dyDescent="0.25">
      <c r="A134" s="28">
        <f>LOOKUP(A133,INICIO!A$10:A$109,INICIO!C$10:C$109)</f>
        <v>30</v>
      </c>
      <c r="B134" s="31" t="str">
        <f t="shared" si="133"/>
        <v xml:space="preserve"> _empresa. = </v>
      </c>
      <c r="C134" s="23" t="str">
        <f t="shared" ref="C134" si="231">SUBSTITUTE(E134,"???",CONCATENATE(F134,G134,H134))</f>
        <v>0</v>
      </c>
      <c r="D134" s="23" t="s">
        <v>72</v>
      </c>
      <c r="E134" s="26">
        <f>LOOKUP(LISTAR!A134,AJUSTE!B:B,AJUSTE!F:F)</f>
        <v>0</v>
      </c>
      <c r="F134" s="30" t="s">
        <v>98</v>
      </c>
      <c r="G134" s="26" t="str">
        <f t="shared" ref="G134" si="232">C133</f>
        <v/>
      </c>
      <c r="H134" s="32" t="s">
        <v>99</v>
      </c>
      <c r="K134" s="38">
        <f t="shared" si="225"/>
        <v>0</v>
      </c>
      <c r="L134" s="9" t="str">
        <f t="shared" ref="L134" si="233">IF(H133,CONCATENATE("                            ",B134,C134,D134),"")</f>
        <v/>
      </c>
    </row>
    <row r="135" spans="1:12" hidden="1" x14ac:dyDescent="0.25">
      <c r="A135" s="24">
        <v>58</v>
      </c>
      <c r="B135" s="21" t="s">
        <v>93</v>
      </c>
      <c r="C135" s="25" t="str">
        <f>LOOKUP(A135,INICIO!A$10:A$109,INICIO!K$10:K$109)</f>
        <v/>
      </c>
      <c r="D135" s="22" t="s">
        <v>94</v>
      </c>
      <c r="E135" s="22"/>
      <c r="F135" s="22"/>
      <c r="G135" s="22"/>
      <c r="H135" s="34">
        <f>LOOKUP(A135,INICIO!A$10:A$109,INICIO!J$10:J$109)</f>
        <v>0</v>
      </c>
      <c r="K135" s="38">
        <f t="shared" si="225"/>
        <v>0</v>
      </c>
      <c r="L135" s="9" t="str">
        <f t="shared" ref="L135" si="234">IF(H135,CONCATENATE("                        ",B135,C135,D135),"")</f>
        <v/>
      </c>
    </row>
    <row r="136" spans="1:12" hidden="1" x14ac:dyDescent="0.25">
      <c r="A136" s="28">
        <f>LOOKUP(A135,INICIO!A$10:A$109,INICIO!C$10:C$109)</f>
        <v>30</v>
      </c>
      <c r="B136" s="31" t="str">
        <f t="shared" si="133"/>
        <v xml:space="preserve"> _empresa. = </v>
      </c>
      <c r="C136" s="23" t="str">
        <f t="shared" ref="C136" si="235">SUBSTITUTE(E136,"???",CONCATENATE(F136,G136,H136))</f>
        <v>0</v>
      </c>
      <c r="D136" s="23" t="s">
        <v>72</v>
      </c>
      <c r="E136" s="26">
        <f>LOOKUP(LISTAR!A136,AJUSTE!B:B,AJUSTE!F:F)</f>
        <v>0</v>
      </c>
      <c r="F136" s="30" t="s">
        <v>98</v>
      </c>
      <c r="G136" s="26" t="str">
        <f t="shared" ref="G136" si="236">C135</f>
        <v/>
      </c>
      <c r="H136" s="32" t="s">
        <v>99</v>
      </c>
      <c r="K136" s="38">
        <f t="shared" si="225"/>
        <v>0</v>
      </c>
      <c r="L136" s="9" t="str">
        <f t="shared" ref="L136" si="237">IF(H135,CONCATENATE("                            ",B136,C136,D136),"")</f>
        <v/>
      </c>
    </row>
    <row r="137" spans="1:12" hidden="1" x14ac:dyDescent="0.25">
      <c r="A137" s="24">
        <v>59</v>
      </c>
      <c r="B137" s="21" t="s">
        <v>93</v>
      </c>
      <c r="C137" s="25" t="str">
        <f>LOOKUP(A137,INICIO!A$10:A$109,INICIO!K$10:K$109)</f>
        <v/>
      </c>
      <c r="D137" s="22" t="s">
        <v>94</v>
      </c>
      <c r="E137" s="22"/>
      <c r="F137" s="22"/>
      <c r="G137" s="22"/>
      <c r="H137" s="34">
        <f>LOOKUP(A137,INICIO!A$10:A$109,INICIO!J$10:J$109)</f>
        <v>0</v>
      </c>
      <c r="K137" s="38">
        <f t="shared" si="225"/>
        <v>0</v>
      </c>
      <c r="L137" s="9" t="str">
        <f t="shared" ref="L137" si="238">IF(H137,CONCATENATE("                        ",B137,C137,D137),"")</f>
        <v/>
      </c>
    </row>
    <row r="138" spans="1:12" hidden="1" x14ac:dyDescent="0.25">
      <c r="A138" s="28">
        <f>LOOKUP(A137,INICIO!A$10:A$109,INICIO!C$10:C$109)</f>
        <v>30</v>
      </c>
      <c r="B138" s="31" t="str">
        <f t="shared" si="133"/>
        <v xml:space="preserve"> _empresa. = </v>
      </c>
      <c r="C138" s="23" t="str">
        <f t="shared" ref="C138" si="239">SUBSTITUTE(E138,"???",CONCATENATE(F138,G138,H138))</f>
        <v>0</v>
      </c>
      <c r="D138" s="23" t="s">
        <v>72</v>
      </c>
      <c r="E138" s="26">
        <f>LOOKUP(LISTAR!A138,AJUSTE!B:B,AJUSTE!F:F)</f>
        <v>0</v>
      </c>
      <c r="F138" s="30" t="s">
        <v>98</v>
      </c>
      <c r="G138" s="26" t="str">
        <f t="shared" ref="G138" si="240">C137</f>
        <v/>
      </c>
      <c r="H138" s="32" t="s">
        <v>99</v>
      </c>
      <c r="K138" s="38">
        <f t="shared" si="225"/>
        <v>0</v>
      </c>
      <c r="L138" s="9" t="str">
        <f t="shared" ref="L138" si="241">IF(H137,CONCATENATE("                            ",B138,C138,D138),"")</f>
        <v/>
      </c>
    </row>
    <row r="139" spans="1:12" hidden="1" x14ac:dyDescent="0.25">
      <c r="A139" s="24">
        <v>60</v>
      </c>
      <c r="B139" s="21" t="s">
        <v>93</v>
      </c>
      <c r="C139" s="25" t="str">
        <f>LOOKUP(A139,INICIO!A$10:A$109,INICIO!K$10:K$109)</f>
        <v/>
      </c>
      <c r="D139" s="22" t="s">
        <v>94</v>
      </c>
      <c r="E139" s="22"/>
      <c r="F139" s="22"/>
      <c r="G139" s="22"/>
      <c r="H139" s="34">
        <f>LOOKUP(A139,INICIO!A$10:A$109,INICIO!J$10:J$109)</f>
        <v>0</v>
      </c>
      <c r="K139" s="38">
        <f t="shared" si="225"/>
        <v>0</v>
      </c>
      <c r="L139" s="9" t="str">
        <f t="shared" ref="L139" si="242">IF(H139,CONCATENATE("                        ",B139,C139,D139),"")</f>
        <v/>
      </c>
    </row>
    <row r="140" spans="1:12" hidden="1" x14ac:dyDescent="0.25">
      <c r="A140" s="28">
        <f>LOOKUP(A139,INICIO!A$10:A$109,INICIO!C$10:C$109)</f>
        <v>30</v>
      </c>
      <c r="B140" s="31" t="str">
        <f t="shared" si="133"/>
        <v xml:space="preserve"> _empresa. = </v>
      </c>
      <c r="C140" s="23" t="str">
        <f t="shared" ref="C140" si="243">SUBSTITUTE(E140,"???",CONCATENATE(F140,G140,H140))</f>
        <v>0</v>
      </c>
      <c r="D140" s="23" t="s">
        <v>72</v>
      </c>
      <c r="E140" s="26">
        <f>LOOKUP(LISTAR!A140,AJUSTE!B:B,AJUSTE!F:F)</f>
        <v>0</v>
      </c>
      <c r="F140" s="30" t="s">
        <v>98</v>
      </c>
      <c r="G140" s="26" t="str">
        <f t="shared" ref="G140" si="244">C139</f>
        <v/>
      </c>
      <c r="H140" s="32" t="s">
        <v>99</v>
      </c>
      <c r="K140" s="38">
        <f t="shared" si="225"/>
        <v>0</v>
      </c>
      <c r="L140" s="9" t="str">
        <f t="shared" ref="L140" si="245">IF(H139,CONCATENATE("                            ",B140,C140,D140),"")</f>
        <v/>
      </c>
    </row>
    <row r="141" spans="1:12" hidden="1" x14ac:dyDescent="0.25">
      <c r="A141" s="24">
        <v>61</v>
      </c>
      <c r="B141" s="21" t="s">
        <v>93</v>
      </c>
      <c r="C141" s="25" t="str">
        <f>LOOKUP(A141,INICIO!A$10:A$109,INICIO!K$10:K$109)</f>
        <v/>
      </c>
      <c r="D141" s="22" t="s">
        <v>94</v>
      </c>
      <c r="E141" s="22"/>
      <c r="F141" s="22"/>
      <c r="G141" s="22"/>
      <c r="H141" s="34">
        <f>LOOKUP(A141,INICIO!A$10:A$109,INICIO!J$10:J$109)</f>
        <v>0</v>
      </c>
      <c r="K141" s="38">
        <f t="shared" si="225"/>
        <v>0</v>
      </c>
      <c r="L141" s="9" t="str">
        <f t="shared" ref="L141" si="246">IF(H141,CONCATENATE("                        ",B141,C141,D141),"")</f>
        <v/>
      </c>
    </row>
    <row r="142" spans="1:12" hidden="1" x14ac:dyDescent="0.25">
      <c r="A142" s="28">
        <f>LOOKUP(A141,INICIO!A$10:A$109,INICIO!C$10:C$109)</f>
        <v>30</v>
      </c>
      <c r="B142" s="31" t="str">
        <f t="shared" si="133"/>
        <v xml:space="preserve"> _empresa. = </v>
      </c>
      <c r="C142" s="23" t="str">
        <f t="shared" ref="C142" si="247">SUBSTITUTE(E142,"???",CONCATENATE(F142,G142,H142))</f>
        <v>0</v>
      </c>
      <c r="D142" s="23" t="s">
        <v>72</v>
      </c>
      <c r="E142" s="26">
        <f>LOOKUP(LISTAR!A142,AJUSTE!B:B,AJUSTE!F:F)</f>
        <v>0</v>
      </c>
      <c r="F142" s="30" t="s">
        <v>98</v>
      </c>
      <c r="G142" s="26" t="str">
        <f t="shared" ref="G142" si="248">C141</f>
        <v/>
      </c>
      <c r="H142" s="32" t="s">
        <v>99</v>
      </c>
      <c r="K142" s="38">
        <f t="shared" si="225"/>
        <v>0</v>
      </c>
      <c r="L142" s="9" t="str">
        <f t="shared" ref="L142" si="249">IF(H141,CONCATENATE("                            ",B142,C142,D142),"")</f>
        <v/>
      </c>
    </row>
    <row r="143" spans="1:12" hidden="1" x14ac:dyDescent="0.25">
      <c r="A143" s="24">
        <v>62</v>
      </c>
      <c r="B143" s="21" t="s">
        <v>93</v>
      </c>
      <c r="C143" s="25" t="str">
        <f>LOOKUP(A143,INICIO!A$10:A$109,INICIO!K$10:K$109)</f>
        <v/>
      </c>
      <c r="D143" s="22" t="s">
        <v>94</v>
      </c>
      <c r="E143" s="22"/>
      <c r="F143" s="22"/>
      <c r="G143" s="22"/>
      <c r="H143" s="34">
        <f>LOOKUP(A143,INICIO!A$10:A$109,INICIO!J$10:J$109)</f>
        <v>0</v>
      </c>
      <c r="K143" s="38">
        <f t="shared" si="225"/>
        <v>0</v>
      </c>
      <c r="L143" s="9" t="str">
        <f t="shared" ref="L143" si="250">IF(H143,CONCATENATE("                        ",B143,C143,D143),"")</f>
        <v/>
      </c>
    </row>
    <row r="144" spans="1:12" hidden="1" x14ac:dyDescent="0.25">
      <c r="A144" s="28">
        <f>LOOKUP(A143,INICIO!A$10:A$109,INICIO!C$10:C$109)</f>
        <v>30</v>
      </c>
      <c r="B144" s="31" t="str">
        <f t="shared" si="133"/>
        <v xml:space="preserve"> _empresa. = </v>
      </c>
      <c r="C144" s="23" t="str">
        <f t="shared" ref="C144" si="251">SUBSTITUTE(E144,"???",CONCATENATE(F144,G144,H144))</f>
        <v>0</v>
      </c>
      <c r="D144" s="23" t="s">
        <v>72</v>
      </c>
      <c r="E144" s="26">
        <f>LOOKUP(LISTAR!A144,AJUSTE!B:B,AJUSTE!F:F)</f>
        <v>0</v>
      </c>
      <c r="F144" s="30" t="s">
        <v>98</v>
      </c>
      <c r="G144" s="26" t="str">
        <f t="shared" ref="G144" si="252">C143</f>
        <v/>
      </c>
      <c r="H144" s="32" t="s">
        <v>99</v>
      </c>
      <c r="K144" s="38">
        <f t="shared" si="225"/>
        <v>0</v>
      </c>
      <c r="L144" s="9" t="str">
        <f t="shared" ref="L144" si="253">IF(H143,CONCATENATE("                            ",B144,C144,D144),"")</f>
        <v/>
      </c>
    </row>
    <row r="145" spans="1:12" hidden="1" x14ac:dyDescent="0.25">
      <c r="A145" s="24">
        <v>63</v>
      </c>
      <c r="B145" s="21" t="s">
        <v>93</v>
      </c>
      <c r="C145" s="25" t="str">
        <f>LOOKUP(A145,INICIO!A$10:A$109,INICIO!K$10:K$109)</f>
        <v/>
      </c>
      <c r="D145" s="22" t="s">
        <v>94</v>
      </c>
      <c r="E145" s="22"/>
      <c r="F145" s="22"/>
      <c r="G145" s="22"/>
      <c r="H145" s="34">
        <f>LOOKUP(A145,INICIO!A$10:A$109,INICIO!J$10:J$109)</f>
        <v>0</v>
      </c>
      <c r="K145" s="38">
        <f t="shared" si="225"/>
        <v>0</v>
      </c>
      <c r="L145" s="9" t="str">
        <f t="shared" ref="L145" si="254">IF(H145,CONCATENATE("                        ",B145,C145,D145),"")</f>
        <v/>
      </c>
    </row>
    <row r="146" spans="1:12" hidden="1" x14ac:dyDescent="0.25">
      <c r="A146" s="28">
        <f>LOOKUP(A145,INICIO!A$10:A$109,INICIO!C$10:C$109)</f>
        <v>30</v>
      </c>
      <c r="B146" s="31" t="str">
        <f t="shared" si="133"/>
        <v xml:space="preserve"> _empresa. = </v>
      </c>
      <c r="C146" s="23" t="str">
        <f t="shared" ref="C146" si="255">SUBSTITUTE(E146,"???",CONCATENATE(F146,G146,H146))</f>
        <v>0</v>
      </c>
      <c r="D146" s="23" t="s">
        <v>72</v>
      </c>
      <c r="E146" s="26">
        <f>LOOKUP(LISTAR!A146,AJUSTE!B:B,AJUSTE!F:F)</f>
        <v>0</v>
      </c>
      <c r="F146" s="30" t="s">
        <v>98</v>
      </c>
      <c r="G146" s="26" t="str">
        <f t="shared" ref="G146" si="256">C145</f>
        <v/>
      </c>
      <c r="H146" s="32" t="s">
        <v>99</v>
      </c>
      <c r="K146" s="38">
        <f t="shared" si="225"/>
        <v>0</v>
      </c>
      <c r="L146" s="9" t="str">
        <f t="shared" ref="L146" si="257">IF(H145,CONCATENATE("                            ",B146,C146,D146),"")</f>
        <v/>
      </c>
    </row>
    <row r="147" spans="1:12" hidden="1" x14ac:dyDescent="0.25">
      <c r="A147" s="24">
        <v>64</v>
      </c>
      <c r="B147" s="21" t="s">
        <v>93</v>
      </c>
      <c r="C147" s="25" t="str">
        <f>LOOKUP(A147,INICIO!A$10:A$109,INICIO!K$10:K$109)</f>
        <v/>
      </c>
      <c r="D147" s="22" t="s">
        <v>94</v>
      </c>
      <c r="E147" s="22"/>
      <c r="F147" s="22"/>
      <c r="G147" s="22"/>
      <c r="H147" s="34">
        <f>LOOKUP(A147,INICIO!A$10:A$109,INICIO!J$10:J$109)</f>
        <v>0</v>
      </c>
      <c r="K147" s="38">
        <f t="shared" si="225"/>
        <v>0</v>
      </c>
      <c r="L147" s="9" t="str">
        <f t="shared" ref="L147" si="258">IF(H147,CONCATENATE("                        ",B147,C147,D147),"")</f>
        <v/>
      </c>
    </row>
    <row r="148" spans="1:12" hidden="1" x14ac:dyDescent="0.25">
      <c r="A148" s="28">
        <f>LOOKUP(A147,INICIO!A$10:A$109,INICIO!C$10:C$109)</f>
        <v>30</v>
      </c>
      <c r="B148" s="31" t="str">
        <f t="shared" si="133"/>
        <v xml:space="preserve"> _empresa. = </v>
      </c>
      <c r="C148" s="23" t="str">
        <f t="shared" ref="C148" si="259">SUBSTITUTE(E148,"???",CONCATENATE(F148,G148,H148))</f>
        <v>0</v>
      </c>
      <c r="D148" s="23" t="s">
        <v>72</v>
      </c>
      <c r="E148" s="26">
        <f>LOOKUP(LISTAR!A148,AJUSTE!B:B,AJUSTE!F:F)</f>
        <v>0</v>
      </c>
      <c r="F148" s="30" t="s">
        <v>98</v>
      </c>
      <c r="G148" s="26" t="str">
        <f t="shared" ref="G148" si="260">C147</f>
        <v/>
      </c>
      <c r="H148" s="32" t="s">
        <v>99</v>
      </c>
      <c r="K148" s="38">
        <f t="shared" si="225"/>
        <v>0</v>
      </c>
      <c r="L148" s="9" t="str">
        <f t="shared" ref="L148" si="261">IF(H147,CONCATENATE("                            ",B148,C148,D148),"")</f>
        <v/>
      </c>
    </row>
    <row r="149" spans="1:12" hidden="1" x14ac:dyDescent="0.25">
      <c r="A149" s="24">
        <v>65</v>
      </c>
      <c r="B149" s="21" t="s">
        <v>93</v>
      </c>
      <c r="C149" s="25" t="str">
        <f>LOOKUP(A149,INICIO!A$10:A$109,INICIO!K$10:K$109)</f>
        <v/>
      </c>
      <c r="D149" s="22" t="s">
        <v>94</v>
      </c>
      <c r="E149" s="22"/>
      <c r="F149" s="22"/>
      <c r="G149" s="22"/>
      <c r="H149" s="34">
        <f>LOOKUP(A149,INICIO!A$10:A$109,INICIO!J$10:J$109)</f>
        <v>0</v>
      </c>
      <c r="K149" s="38">
        <f t="shared" si="225"/>
        <v>0</v>
      </c>
      <c r="L149" s="9" t="str">
        <f t="shared" ref="L149" si="262">IF(H149,CONCATENATE("                        ",B149,C149,D149),"")</f>
        <v/>
      </c>
    </row>
    <row r="150" spans="1:12" hidden="1" x14ac:dyDescent="0.25">
      <c r="A150" s="28">
        <f>LOOKUP(A149,INICIO!A$10:A$109,INICIO!C$10:C$109)</f>
        <v>30</v>
      </c>
      <c r="B150" s="31" t="str">
        <f t="shared" ref="B150:B212" si="263">CONCATENATE(C$19,".",C149," = ")</f>
        <v xml:space="preserve"> _empresa. = </v>
      </c>
      <c r="C150" s="23" t="str">
        <f t="shared" ref="C150" si="264">SUBSTITUTE(E150,"???",CONCATENATE(F150,G150,H150))</f>
        <v>0</v>
      </c>
      <c r="D150" s="23" t="s">
        <v>72</v>
      </c>
      <c r="E150" s="26">
        <f>LOOKUP(LISTAR!A150,AJUSTE!B:B,AJUSTE!F:F)</f>
        <v>0</v>
      </c>
      <c r="F150" s="30" t="s">
        <v>98</v>
      </c>
      <c r="G150" s="26" t="str">
        <f t="shared" ref="G150" si="265">C149</f>
        <v/>
      </c>
      <c r="H150" s="32" t="s">
        <v>99</v>
      </c>
      <c r="K150" s="38">
        <f t="shared" si="225"/>
        <v>0</v>
      </c>
      <c r="L150" s="9" t="str">
        <f t="shared" ref="L150" si="266">IF(H149,CONCATENATE("                            ",B150,C150,D150),"")</f>
        <v/>
      </c>
    </row>
    <row r="151" spans="1:12" hidden="1" x14ac:dyDescent="0.25">
      <c r="A151" s="24">
        <v>66</v>
      </c>
      <c r="B151" s="21" t="s">
        <v>93</v>
      </c>
      <c r="C151" s="25" t="str">
        <f>LOOKUP(A151,INICIO!A$10:A$109,INICIO!K$10:K$109)</f>
        <v/>
      </c>
      <c r="D151" s="22" t="s">
        <v>94</v>
      </c>
      <c r="E151" s="22"/>
      <c r="F151" s="22"/>
      <c r="G151" s="22"/>
      <c r="H151" s="34">
        <f>LOOKUP(A151,INICIO!A$10:A$109,INICIO!J$10:J$109)</f>
        <v>0</v>
      </c>
      <c r="K151" s="38">
        <f t="shared" si="225"/>
        <v>0</v>
      </c>
      <c r="L151" s="9" t="str">
        <f t="shared" ref="L151" si="267">IF(H151,CONCATENATE("                        ",B151,C151,D151),"")</f>
        <v/>
      </c>
    </row>
    <row r="152" spans="1:12" hidden="1" x14ac:dyDescent="0.25">
      <c r="A152" s="28">
        <f>LOOKUP(A151,INICIO!A$10:A$109,INICIO!C$10:C$109)</f>
        <v>30</v>
      </c>
      <c r="B152" s="31" t="str">
        <f t="shared" si="263"/>
        <v xml:space="preserve"> _empresa. = </v>
      </c>
      <c r="C152" s="23" t="str">
        <f t="shared" ref="C152" si="268">SUBSTITUTE(E152,"???",CONCATENATE(F152,G152,H152))</f>
        <v>0</v>
      </c>
      <c r="D152" s="23" t="s">
        <v>72</v>
      </c>
      <c r="E152" s="26">
        <f>LOOKUP(LISTAR!A152,AJUSTE!B:B,AJUSTE!F:F)</f>
        <v>0</v>
      </c>
      <c r="F152" s="30" t="s">
        <v>98</v>
      </c>
      <c r="G152" s="26" t="str">
        <f t="shared" ref="G152" si="269">C151</f>
        <v/>
      </c>
      <c r="H152" s="32" t="s">
        <v>99</v>
      </c>
      <c r="K152" s="38">
        <f t="shared" si="225"/>
        <v>0</v>
      </c>
      <c r="L152" s="9" t="str">
        <f t="shared" ref="L152" si="270">IF(H151,CONCATENATE("                            ",B152,C152,D152),"")</f>
        <v/>
      </c>
    </row>
    <row r="153" spans="1:12" hidden="1" x14ac:dyDescent="0.25">
      <c r="A153" s="24">
        <v>67</v>
      </c>
      <c r="B153" s="21" t="s">
        <v>93</v>
      </c>
      <c r="C153" s="25" t="str">
        <f>LOOKUP(A153,INICIO!A$10:A$109,INICIO!K$10:K$109)</f>
        <v/>
      </c>
      <c r="D153" s="22" t="s">
        <v>94</v>
      </c>
      <c r="E153" s="22"/>
      <c r="F153" s="22"/>
      <c r="G153" s="22"/>
      <c r="H153" s="34">
        <f>LOOKUP(A153,INICIO!A$10:A$109,INICIO!J$10:J$109)</f>
        <v>0</v>
      </c>
      <c r="K153" s="38">
        <f t="shared" si="225"/>
        <v>0</v>
      </c>
      <c r="L153" s="9" t="str">
        <f t="shared" ref="L153" si="271">IF(H153,CONCATENATE("                        ",B153,C153,D153),"")</f>
        <v/>
      </c>
    </row>
    <row r="154" spans="1:12" hidden="1" x14ac:dyDescent="0.25">
      <c r="A154" s="28">
        <f>LOOKUP(A153,INICIO!A$10:A$109,INICIO!C$10:C$109)</f>
        <v>30</v>
      </c>
      <c r="B154" s="31" t="str">
        <f t="shared" si="263"/>
        <v xml:space="preserve"> _empresa. = </v>
      </c>
      <c r="C154" s="23" t="str">
        <f t="shared" ref="C154" si="272">SUBSTITUTE(E154,"???",CONCATENATE(F154,G154,H154))</f>
        <v>0</v>
      </c>
      <c r="D154" s="23" t="s">
        <v>72</v>
      </c>
      <c r="E154" s="26">
        <f>LOOKUP(LISTAR!A154,AJUSTE!B:B,AJUSTE!F:F)</f>
        <v>0</v>
      </c>
      <c r="F154" s="30" t="s">
        <v>98</v>
      </c>
      <c r="G154" s="26" t="str">
        <f t="shared" ref="G154" si="273">C153</f>
        <v/>
      </c>
      <c r="H154" s="32" t="s">
        <v>99</v>
      </c>
      <c r="K154" s="38">
        <f t="shared" si="225"/>
        <v>0</v>
      </c>
      <c r="L154" s="9" t="str">
        <f t="shared" ref="L154" si="274">IF(H153,CONCATENATE("                            ",B154,C154,D154),"")</f>
        <v/>
      </c>
    </row>
    <row r="155" spans="1:12" hidden="1" x14ac:dyDescent="0.25">
      <c r="A155" s="24">
        <v>68</v>
      </c>
      <c r="B155" s="21" t="s">
        <v>93</v>
      </c>
      <c r="C155" s="25" t="str">
        <f>LOOKUP(A155,INICIO!A$10:A$109,INICIO!K$10:K$109)</f>
        <v/>
      </c>
      <c r="D155" s="22" t="s">
        <v>94</v>
      </c>
      <c r="E155" s="22"/>
      <c r="F155" s="22"/>
      <c r="G155" s="22"/>
      <c r="H155" s="34">
        <f>LOOKUP(A155,INICIO!A$10:A$109,INICIO!J$10:J$109)</f>
        <v>0</v>
      </c>
      <c r="K155" s="38">
        <f t="shared" si="225"/>
        <v>0</v>
      </c>
      <c r="L155" s="9" t="str">
        <f t="shared" ref="L155" si="275">IF(H155,CONCATENATE("                        ",B155,C155,D155),"")</f>
        <v/>
      </c>
    </row>
    <row r="156" spans="1:12" hidden="1" x14ac:dyDescent="0.25">
      <c r="A156" s="28">
        <f>LOOKUP(A155,INICIO!A$10:A$109,INICIO!C$10:C$109)</f>
        <v>30</v>
      </c>
      <c r="B156" s="31" t="str">
        <f t="shared" si="263"/>
        <v xml:space="preserve"> _empresa. = </v>
      </c>
      <c r="C156" s="23" t="str">
        <f t="shared" ref="C156" si="276">SUBSTITUTE(E156,"???",CONCATENATE(F156,G156,H156))</f>
        <v>0</v>
      </c>
      <c r="D156" s="23" t="s">
        <v>72</v>
      </c>
      <c r="E156" s="26">
        <f>LOOKUP(LISTAR!A156,AJUSTE!B:B,AJUSTE!F:F)</f>
        <v>0</v>
      </c>
      <c r="F156" s="30" t="s">
        <v>98</v>
      </c>
      <c r="G156" s="26" t="str">
        <f t="shared" ref="G156" si="277">C155</f>
        <v/>
      </c>
      <c r="H156" s="32" t="s">
        <v>99</v>
      </c>
      <c r="K156" s="38">
        <f t="shared" si="225"/>
        <v>0</v>
      </c>
      <c r="L156" s="9" t="str">
        <f t="shared" ref="L156" si="278">IF(H155,CONCATENATE("                            ",B156,C156,D156),"")</f>
        <v/>
      </c>
    </row>
    <row r="157" spans="1:12" hidden="1" x14ac:dyDescent="0.25">
      <c r="A157" s="24">
        <v>69</v>
      </c>
      <c r="B157" s="21" t="s">
        <v>93</v>
      </c>
      <c r="C157" s="25" t="str">
        <f>LOOKUP(A157,INICIO!A$10:A$109,INICIO!K$10:K$109)</f>
        <v/>
      </c>
      <c r="D157" s="22" t="s">
        <v>94</v>
      </c>
      <c r="E157" s="22"/>
      <c r="F157" s="22"/>
      <c r="G157" s="22"/>
      <c r="H157" s="34">
        <f>LOOKUP(A157,INICIO!A$10:A$109,INICIO!J$10:J$109)</f>
        <v>0</v>
      </c>
      <c r="K157" s="38">
        <f t="shared" si="225"/>
        <v>0</v>
      </c>
      <c r="L157" s="9" t="str">
        <f t="shared" ref="L157" si="279">IF(H157,CONCATENATE("                        ",B157,C157,D157),"")</f>
        <v/>
      </c>
    </row>
    <row r="158" spans="1:12" hidden="1" x14ac:dyDescent="0.25">
      <c r="A158" s="28">
        <f>LOOKUP(A157,INICIO!A$10:A$109,INICIO!C$10:C$109)</f>
        <v>30</v>
      </c>
      <c r="B158" s="31" t="str">
        <f t="shared" si="263"/>
        <v xml:space="preserve"> _empresa. = </v>
      </c>
      <c r="C158" s="23" t="str">
        <f t="shared" ref="C158" si="280">SUBSTITUTE(E158,"???",CONCATENATE(F158,G158,H158))</f>
        <v>0</v>
      </c>
      <c r="D158" s="23" t="s">
        <v>72</v>
      </c>
      <c r="E158" s="26">
        <f>LOOKUP(LISTAR!A158,AJUSTE!B:B,AJUSTE!F:F)</f>
        <v>0</v>
      </c>
      <c r="F158" s="30" t="s">
        <v>98</v>
      </c>
      <c r="G158" s="26" t="str">
        <f t="shared" ref="G158" si="281">C157</f>
        <v/>
      </c>
      <c r="H158" s="32" t="s">
        <v>99</v>
      </c>
      <c r="K158" s="38">
        <f t="shared" si="225"/>
        <v>0</v>
      </c>
      <c r="L158" s="9" t="str">
        <f t="shared" ref="L158" si="282">IF(H157,CONCATENATE("                            ",B158,C158,D158),"")</f>
        <v/>
      </c>
    </row>
    <row r="159" spans="1:12" hidden="1" x14ac:dyDescent="0.25">
      <c r="A159" s="24">
        <v>70</v>
      </c>
      <c r="B159" s="21" t="s">
        <v>93</v>
      </c>
      <c r="C159" s="25" t="str">
        <f>LOOKUP(A159,INICIO!A$10:A$109,INICIO!K$10:K$109)</f>
        <v/>
      </c>
      <c r="D159" s="22" t="s">
        <v>94</v>
      </c>
      <c r="E159" s="22"/>
      <c r="F159" s="22"/>
      <c r="G159" s="22"/>
      <c r="H159" s="34">
        <f>LOOKUP(A159,INICIO!A$10:A$109,INICIO!J$10:J$109)</f>
        <v>0</v>
      </c>
      <c r="K159" s="38">
        <f t="shared" si="225"/>
        <v>0</v>
      </c>
      <c r="L159" s="9" t="str">
        <f t="shared" ref="L159" si="283">IF(H159,CONCATENATE("                        ",B159,C159,D159),"")</f>
        <v/>
      </c>
    </row>
    <row r="160" spans="1:12" hidden="1" x14ac:dyDescent="0.25">
      <c r="A160" s="28">
        <f>LOOKUP(A159,INICIO!A$10:A$109,INICIO!C$10:C$109)</f>
        <v>30</v>
      </c>
      <c r="B160" s="31" t="str">
        <f t="shared" si="263"/>
        <v xml:space="preserve"> _empresa. = </v>
      </c>
      <c r="C160" s="23" t="str">
        <f t="shared" ref="C160" si="284">SUBSTITUTE(E160,"???",CONCATENATE(F160,G160,H160))</f>
        <v>0</v>
      </c>
      <c r="D160" s="23" t="s">
        <v>72</v>
      </c>
      <c r="E160" s="26">
        <f>LOOKUP(LISTAR!A160,AJUSTE!B:B,AJUSTE!F:F)</f>
        <v>0</v>
      </c>
      <c r="F160" s="30" t="s">
        <v>98</v>
      </c>
      <c r="G160" s="26" t="str">
        <f t="shared" ref="G160" si="285">C159</f>
        <v/>
      </c>
      <c r="H160" s="32" t="s">
        <v>99</v>
      </c>
      <c r="K160" s="38">
        <f t="shared" si="225"/>
        <v>0</v>
      </c>
      <c r="L160" s="9" t="str">
        <f t="shared" ref="L160" si="286">IF(H159,CONCATENATE("                            ",B160,C160,D160),"")</f>
        <v/>
      </c>
    </row>
    <row r="161" spans="1:12" hidden="1" x14ac:dyDescent="0.25">
      <c r="A161" s="24">
        <v>71</v>
      </c>
      <c r="B161" s="21" t="s">
        <v>93</v>
      </c>
      <c r="C161" s="25" t="str">
        <f>LOOKUP(A161,INICIO!A$10:A$109,INICIO!K$10:K$109)</f>
        <v/>
      </c>
      <c r="D161" s="22" t="s">
        <v>94</v>
      </c>
      <c r="E161" s="22"/>
      <c r="F161" s="22"/>
      <c r="G161" s="22"/>
      <c r="H161" s="34">
        <f>LOOKUP(A161,INICIO!A$10:A$109,INICIO!J$10:J$109)</f>
        <v>0</v>
      </c>
      <c r="K161" s="38">
        <f t="shared" si="225"/>
        <v>0</v>
      </c>
      <c r="L161" s="9" t="str">
        <f t="shared" ref="L161" si="287">IF(H161,CONCATENATE("                        ",B161,C161,D161),"")</f>
        <v/>
      </c>
    </row>
    <row r="162" spans="1:12" hidden="1" x14ac:dyDescent="0.25">
      <c r="A162" s="28">
        <f>LOOKUP(A161,INICIO!A$10:A$109,INICIO!C$10:C$109)</f>
        <v>30</v>
      </c>
      <c r="B162" s="31" t="str">
        <f t="shared" si="263"/>
        <v xml:space="preserve"> _empresa. = </v>
      </c>
      <c r="C162" s="23" t="str">
        <f t="shared" ref="C162" si="288">SUBSTITUTE(E162,"???",CONCATENATE(F162,G162,H162))</f>
        <v>0</v>
      </c>
      <c r="D162" s="23" t="s">
        <v>72</v>
      </c>
      <c r="E162" s="26">
        <f>LOOKUP(LISTAR!A162,AJUSTE!B:B,AJUSTE!F:F)</f>
        <v>0</v>
      </c>
      <c r="F162" s="30" t="s">
        <v>98</v>
      </c>
      <c r="G162" s="26" t="str">
        <f t="shared" ref="G162" si="289">C161</f>
        <v/>
      </c>
      <c r="H162" s="32" t="s">
        <v>99</v>
      </c>
      <c r="K162" s="38">
        <f t="shared" si="225"/>
        <v>0</v>
      </c>
      <c r="L162" s="9" t="str">
        <f t="shared" ref="L162" si="290">IF(H161,CONCATENATE("                            ",B162,C162,D162),"")</f>
        <v/>
      </c>
    </row>
    <row r="163" spans="1:12" hidden="1" x14ac:dyDescent="0.25">
      <c r="A163" s="24">
        <v>72</v>
      </c>
      <c r="B163" s="21" t="s">
        <v>93</v>
      </c>
      <c r="C163" s="25" t="str">
        <f>LOOKUP(A163,INICIO!A$10:A$109,INICIO!K$10:K$109)</f>
        <v/>
      </c>
      <c r="D163" s="22" t="s">
        <v>94</v>
      </c>
      <c r="E163" s="22"/>
      <c r="F163" s="22"/>
      <c r="G163" s="22"/>
      <c r="H163" s="34">
        <f>LOOKUP(A163,INICIO!A$10:A$109,INICIO!J$10:J$109)</f>
        <v>0</v>
      </c>
      <c r="K163" s="38">
        <f t="shared" si="225"/>
        <v>0</v>
      </c>
      <c r="L163" s="9" t="str">
        <f t="shared" ref="L163" si="291">IF(H163,CONCATENATE("                        ",B163,C163,D163),"")</f>
        <v/>
      </c>
    </row>
    <row r="164" spans="1:12" hidden="1" x14ac:dyDescent="0.25">
      <c r="A164" s="28">
        <f>LOOKUP(A163,INICIO!A$10:A$109,INICIO!C$10:C$109)</f>
        <v>30</v>
      </c>
      <c r="B164" s="31" t="str">
        <f t="shared" si="263"/>
        <v xml:space="preserve"> _empresa. = </v>
      </c>
      <c r="C164" s="23" t="str">
        <f t="shared" ref="C164" si="292">SUBSTITUTE(E164,"???",CONCATENATE(F164,G164,H164))</f>
        <v>0</v>
      </c>
      <c r="D164" s="23" t="s">
        <v>72</v>
      </c>
      <c r="E164" s="26">
        <f>LOOKUP(LISTAR!A164,AJUSTE!B:B,AJUSTE!F:F)</f>
        <v>0</v>
      </c>
      <c r="F164" s="30" t="s">
        <v>98</v>
      </c>
      <c r="G164" s="26" t="str">
        <f t="shared" ref="G164" si="293">C163</f>
        <v/>
      </c>
      <c r="H164" s="32" t="s">
        <v>99</v>
      </c>
      <c r="K164" s="38">
        <f t="shared" si="225"/>
        <v>0</v>
      </c>
      <c r="L164" s="9" t="str">
        <f t="shared" ref="L164" si="294">IF(H163,CONCATENATE("                            ",B164,C164,D164),"")</f>
        <v/>
      </c>
    </row>
    <row r="165" spans="1:12" hidden="1" x14ac:dyDescent="0.25">
      <c r="A165" s="24">
        <v>73</v>
      </c>
      <c r="B165" s="21" t="s">
        <v>93</v>
      </c>
      <c r="C165" s="25" t="str">
        <f>LOOKUP(A165,INICIO!A$10:A$109,INICIO!K$10:K$109)</f>
        <v/>
      </c>
      <c r="D165" s="22" t="s">
        <v>94</v>
      </c>
      <c r="E165" s="22"/>
      <c r="F165" s="22"/>
      <c r="G165" s="22"/>
      <c r="H165" s="34">
        <f>LOOKUP(A165,INICIO!A$10:A$109,INICIO!J$10:J$109)</f>
        <v>0</v>
      </c>
      <c r="K165" s="38">
        <f t="shared" si="225"/>
        <v>0</v>
      </c>
      <c r="L165" s="9" t="str">
        <f t="shared" ref="L165" si="295">IF(H165,CONCATENATE("                        ",B165,C165,D165),"")</f>
        <v/>
      </c>
    </row>
    <row r="166" spans="1:12" hidden="1" x14ac:dyDescent="0.25">
      <c r="A166" s="28">
        <f>LOOKUP(A165,INICIO!A$10:A$109,INICIO!C$10:C$109)</f>
        <v>30</v>
      </c>
      <c r="B166" s="31" t="str">
        <f t="shared" si="263"/>
        <v xml:space="preserve"> _empresa. = </v>
      </c>
      <c r="C166" s="23" t="str">
        <f t="shared" ref="C166" si="296">SUBSTITUTE(E166,"???",CONCATENATE(F166,G166,H166))</f>
        <v>0</v>
      </c>
      <c r="D166" s="23" t="s">
        <v>72</v>
      </c>
      <c r="E166" s="26">
        <f>LOOKUP(LISTAR!A166,AJUSTE!B:B,AJUSTE!F:F)</f>
        <v>0</v>
      </c>
      <c r="F166" s="30" t="s">
        <v>98</v>
      </c>
      <c r="G166" s="26" t="str">
        <f t="shared" ref="G166" si="297">C165</f>
        <v/>
      </c>
      <c r="H166" s="32" t="s">
        <v>99</v>
      </c>
      <c r="K166" s="38">
        <f t="shared" si="225"/>
        <v>0</v>
      </c>
      <c r="L166" s="9" t="str">
        <f t="shared" ref="L166" si="298">IF(H165,CONCATENATE("                            ",B166,C166,D166),"")</f>
        <v/>
      </c>
    </row>
    <row r="167" spans="1:12" hidden="1" x14ac:dyDescent="0.25">
      <c r="A167" s="24">
        <v>74</v>
      </c>
      <c r="B167" s="21" t="s">
        <v>93</v>
      </c>
      <c r="C167" s="25" t="str">
        <f>LOOKUP(A167,INICIO!A$10:A$109,INICIO!K$10:K$109)</f>
        <v/>
      </c>
      <c r="D167" s="22" t="s">
        <v>94</v>
      </c>
      <c r="E167" s="22"/>
      <c r="F167" s="22"/>
      <c r="G167" s="22"/>
      <c r="H167" s="34">
        <f>LOOKUP(A167,INICIO!A$10:A$109,INICIO!J$10:J$109)</f>
        <v>0</v>
      </c>
      <c r="K167" s="38">
        <f t="shared" si="225"/>
        <v>0</v>
      </c>
      <c r="L167" s="9" t="str">
        <f t="shared" ref="L167" si="299">IF(H167,CONCATENATE("                        ",B167,C167,D167),"")</f>
        <v/>
      </c>
    </row>
    <row r="168" spans="1:12" hidden="1" x14ac:dyDescent="0.25">
      <c r="A168" s="28">
        <f>LOOKUP(A167,INICIO!A$10:A$109,INICIO!C$10:C$109)</f>
        <v>30</v>
      </c>
      <c r="B168" s="31" t="str">
        <f t="shared" si="263"/>
        <v xml:space="preserve"> _empresa. = </v>
      </c>
      <c r="C168" s="23" t="str">
        <f t="shared" ref="C168" si="300">SUBSTITUTE(E168,"???",CONCATENATE(F168,G168,H168))</f>
        <v>0</v>
      </c>
      <c r="D168" s="23" t="s">
        <v>72</v>
      </c>
      <c r="E168" s="26">
        <f>LOOKUP(LISTAR!A168,AJUSTE!B:B,AJUSTE!F:F)</f>
        <v>0</v>
      </c>
      <c r="F168" s="30" t="s">
        <v>98</v>
      </c>
      <c r="G168" s="26" t="str">
        <f t="shared" ref="G168" si="301">C167</f>
        <v/>
      </c>
      <c r="H168" s="32" t="s">
        <v>99</v>
      </c>
      <c r="K168" s="38">
        <f t="shared" si="225"/>
        <v>0</v>
      </c>
      <c r="L168" s="9" t="str">
        <f t="shared" ref="L168" si="302">IF(H167,CONCATENATE("                            ",B168,C168,D168),"")</f>
        <v/>
      </c>
    </row>
    <row r="169" spans="1:12" hidden="1" x14ac:dyDescent="0.25">
      <c r="A169" s="24">
        <v>75</v>
      </c>
      <c r="B169" s="21" t="s">
        <v>93</v>
      </c>
      <c r="C169" s="25" t="str">
        <f>LOOKUP(A169,INICIO!A$10:A$109,INICIO!K$10:K$109)</f>
        <v/>
      </c>
      <c r="D169" s="22" t="s">
        <v>94</v>
      </c>
      <c r="E169" s="22"/>
      <c r="F169" s="22"/>
      <c r="G169" s="22"/>
      <c r="H169" s="34">
        <f>LOOKUP(A169,INICIO!A$10:A$109,INICIO!J$10:J$109)</f>
        <v>0</v>
      </c>
      <c r="K169" s="38">
        <f t="shared" si="225"/>
        <v>0</v>
      </c>
      <c r="L169" s="9" t="str">
        <f t="shared" ref="L169" si="303">IF(H169,CONCATENATE("                        ",B169,C169,D169),"")</f>
        <v/>
      </c>
    </row>
    <row r="170" spans="1:12" hidden="1" x14ac:dyDescent="0.25">
      <c r="A170" s="28">
        <f>LOOKUP(A169,INICIO!A$10:A$109,INICIO!C$10:C$109)</f>
        <v>30</v>
      </c>
      <c r="B170" s="31" t="str">
        <f t="shared" si="263"/>
        <v xml:space="preserve"> _empresa. = </v>
      </c>
      <c r="C170" s="23" t="str">
        <f t="shared" ref="C170" si="304">SUBSTITUTE(E170,"???",CONCATENATE(F170,G170,H170))</f>
        <v>0</v>
      </c>
      <c r="D170" s="23" t="s">
        <v>72</v>
      </c>
      <c r="E170" s="26">
        <f>LOOKUP(LISTAR!A170,AJUSTE!B:B,AJUSTE!F:F)</f>
        <v>0</v>
      </c>
      <c r="F170" s="30" t="s">
        <v>98</v>
      </c>
      <c r="G170" s="26" t="str">
        <f t="shared" ref="G170" si="305">C169</f>
        <v/>
      </c>
      <c r="H170" s="32" t="s">
        <v>99</v>
      </c>
      <c r="K170" s="38">
        <f t="shared" si="225"/>
        <v>0</v>
      </c>
      <c r="L170" s="9" t="str">
        <f t="shared" ref="L170" si="306">IF(H169,CONCATENATE("                            ",B170,C170,D170),"")</f>
        <v/>
      </c>
    </row>
    <row r="171" spans="1:12" hidden="1" x14ac:dyDescent="0.25">
      <c r="A171" s="24">
        <v>76</v>
      </c>
      <c r="B171" s="21" t="s">
        <v>93</v>
      </c>
      <c r="C171" s="25" t="str">
        <f>LOOKUP(A171,INICIO!A$10:A$109,INICIO!K$10:K$109)</f>
        <v/>
      </c>
      <c r="D171" s="22" t="s">
        <v>94</v>
      </c>
      <c r="E171" s="22"/>
      <c r="F171" s="22"/>
      <c r="G171" s="22"/>
      <c r="H171" s="34">
        <f>LOOKUP(A171,INICIO!A$10:A$109,INICIO!J$10:J$109)</f>
        <v>0</v>
      </c>
      <c r="K171" s="38">
        <f t="shared" si="225"/>
        <v>0</v>
      </c>
      <c r="L171" s="9" t="str">
        <f t="shared" ref="L171" si="307">IF(H171,CONCATENATE("                        ",B171,C171,D171),"")</f>
        <v/>
      </c>
    </row>
    <row r="172" spans="1:12" hidden="1" x14ac:dyDescent="0.25">
      <c r="A172" s="28">
        <f>LOOKUP(A171,INICIO!A$10:A$109,INICIO!C$10:C$109)</f>
        <v>30</v>
      </c>
      <c r="B172" s="31" t="str">
        <f t="shared" si="263"/>
        <v xml:space="preserve"> _empresa. = </v>
      </c>
      <c r="C172" s="23" t="str">
        <f t="shared" ref="C172" si="308">SUBSTITUTE(E172,"???",CONCATENATE(F172,G172,H172))</f>
        <v>0</v>
      </c>
      <c r="D172" s="23" t="s">
        <v>72</v>
      </c>
      <c r="E172" s="26">
        <f>LOOKUP(LISTAR!A172,AJUSTE!B:B,AJUSTE!F:F)</f>
        <v>0</v>
      </c>
      <c r="F172" s="30" t="s">
        <v>98</v>
      </c>
      <c r="G172" s="26" t="str">
        <f t="shared" ref="G172" si="309">C171</f>
        <v/>
      </c>
      <c r="H172" s="32" t="s">
        <v>99</v>
      </c>
      <c r="K172" s="38">
        <f t="shared" si="225"/>
        <v>0</v>
      </c>
      <c r="L172" s="9" t="str">
        <f t="shared" ref="L172" si="310">IF(H171,CONCATENATE("                            ",B172,C172,D172),"")</f>
        <v/>
      </c>
    </row>
    <row r="173" spans="1:12" hidden="1" x14ac:dyDescent="0.25">
      <c r="A173" s="24">
        <v>77</v>
      </c>
      <c r="B173" s="21" t="s">
        <v>93</v>
      </c>
      <c r="C173" s="25" t="str">
        <f>LOOKUP(A173,INICIO!A$10:A$109,INICIO!K$10:K$109)</f>
        <v/>
      </c>
      <c r="D173" s="22" t="s">
        <v>94</v>
      </c>
      <c r="E173" s="22"/>
      <c r="F173" s="22"/>
      <c r="G173" s="22"/>
      <c r="H173" s="34">
        <f>LOOKUP(A173,INICIO!A$10:A$109,INICIO!J$10:J$109)</f>
        <v>0</v>
      </c>
      <c r="K173" s="38">
        <f t="shared" si="225"/>
        <v>0</v>
      </c>
      <c r="L173" s="9" t="str">
        <f t="shared" ref="L173" si="311">IF(H173,CONCATENATE("                        ",B173,C173,D173),"")</f>
        <v/>
      </c>
    </row>
    <row r="174" spans="1:12" hidden="1" x14ac:dyDescent="0.25">
      <c r="A174" s="28">
        <f>LOOKUP(A173,INICIO!A$10:A$109,INICIO!C$10:C$109)</f>
        <v>30</v>
      </c>
      <c r="B174" s="31" t="str">
        <f t="shared" si="263"/>
        <v xml:space="preserve"> _empresa. = </v>
      </c>
      <c r="C174" s="23" t="str">
        <f t="shared" ref="C174" si="312">SUBSTITUTE(E174,"???",CONCATENATE(F174,G174,H174))</f>
        <v>0</v>
      </c>
      <c r="D174" s="23" t="s">
        <v>72</v>
      </c>
      <c r="E174" s="26">
        <f>LOOKUP(LISTAR!A174,AJUSTE!B:B,AJUSTE!F:F)</f>
        <v>0</v>
      </c>
      <c r="F174" s="30" t="s">
        <v>98</v>
      </c>
      <c r="G174" s="26" t="str">
        <f t="shared" ref="G174" si="313">C173</f>
        <v/>
      </c>
      <c r="H174" s="32" t="s">
        <v>99</v>
      </c>
      <c r="K174" s="38">
        <f t="shared" si="225"/>
        <v>0</v>
      </c>
      <c r="L174" s="9" t="str">
        <f t="shared" ref="L174" si="314">IF(H173,CONCATENATE("                            ",B174,C174,D174),"")</f>
        <v/>
      </c>
    </row>
    <row r="175" spans="1:12" hidden="1" x14ac:dyDescent="0.25">
      <c r="A175" s="24">
        <v>78</v>
      </c>
      <c r="B175" s="21" t="s">
        <v>93</v>
      </c>
      <c r="C175" s="25" t="str">
        <f>LOOKUP(A175,INICIO!A$10:A$109,INICIO!K$10:K$109)</f>
        <v/>
      </c>
      <c r="D175" s="22" t="s">
        <v>94</v>
      </c>
      <c r="E175" s="22"/>
      <c r="F175" s="22"/>
      <c r="G175" s="22"/>
      <c r="H175" s="34">
        <f>LOOKUP(A175,INICIO!A$10:A$109,INICIO!J$10:J$109)</f>
        <v>0</v>
      </c>
      <c r="K175" s="38">
        <f t="shared" si="225"/>
        <v>0</v>
      </c>
      <c r="L175" s="9" t="str">
        <f t="shared" ref="L175" si="315">IF(H175,CONCATENATE("                        ",B175,C175,D175),"")</f>
        <v/>
      </c>
    </row>
    <row r="176" spans="1:12" hidden="1" x14ac:dyDescent="0.25">
      <c r="A176" s="28">
        <f>LOOKUP(A175,INICIO!A$10:A$109,INICIO!C$10:C$109)</f>
        <v>30</v>
      </c>
      <c r="B176" s="31" t="str">
        <f t="shared" si="263"/>
        <v xml:space="preserve"> _empresa. = </v>
      </c>
      <c r="C176" s="23" t="str">
        <f t="shared" ref="C176" si="316">SUBSTITUTE(E176,"???",CONCATENATE(F176,G176,H176))</f>
        <v>0</v>
      </c>
      <c r="D176" s="23" t="s">
        <v>72</v>
      </c>
      <c r="E176" s="26">
        <f>LOOKUP(LISTAR!A176,AJUSTE!B:B,AJUSTE!F:F)</f>
        <v>0</v>
      </c>
      <c r="F176" s="30" t="s">
        <v>98</v>
      </c>
      <c r="G176" s="26" t="str">
        <f t="shared" ref="G176" si="317">C175</f>
        <v/>
      </c>
      <c r="H176" s="32" t="s">
        <v>99</v>
      </c>
      <c r="K176" s="38">
        <f t="shared" si="225"/>
        <v>0</v>
      </c>
      <c r="L176" s="9" t="str">
        <f t="shared" ref="L176" si="318">IF(H175,CONCATENATE("                            ",B176,C176,D176),"")</f>
        <v/>
      </c>
    </row>
    <row r="177" spans="1:12" hidden="1" x14ac:dyDescent="0.25">
      <c r="A177" s="24">
        <v>79</v>
      </c>
      <c r="B177" s="21" t="s">
        <v>93</v>
      </c>
      <c r="C177" s="25" t="str">
        <f>LOOKUP(A177,INICIO!A$10:A$109,INICIO!K$10:K$109)</f>
        <v/>
      </c>
      <c r="D177" s="22" t="s">
        <v>94</v>
      </c>
      <c r="E177" s="22"/>
      <c r="F177" s="22"/>
      <c r="G177" s="22"/>
      <c r="H177" s="34">
        <f>LOOKUP(A177,INICIO!A$10:A$109,INICIO!J$10:J$109)</f>
        <v>0</v>
      </c>
      <c r="K177" s="38">
        <f t="shared" si="225"/>
        <v>0</v>
      </c>
      <c r="L177" s="9" t="str">
        <f t="shared" ref="L177" si="319">IF(H177,CONCATENATE("                        ",B177,C177,D177),"")</f>
        <v/>
      </c>
    </row>
    <row r="178" spans="1:12" hidden="1" x14ac:dyDescent="0.25">
      <c r="A178" s="28">
        <f>LOOKUP(A177,INICIO!A$10:A$109,INICIO!C$10:C$109)</f>
        <v>30</v>
      </c>
      <c r="B178" s="31" t="str">
        <f t="shared" si="263"/>
        <v xml:space="preserve"> _empresa. = </v>
      </c>
      <c r="C178" s="23" t="str">
        <f t="shared" ref="C178" si="320">SUBSTITUTE(E178,"???",CONCATENATE(F178,G178,H178))</f>
        <v>0</v>
      </c>
      <c r="D178" s="23" t="s">
        <v>72</v>
      </c>
      <c r="E178" s="26">
        <f>LOOKUP(LISTAR!A178,AJUSTE!B:B,AJUSTE!F:F)</f>
        <v>0</v>
      </c>
      <c r="F178" s="30" t="s">
        <v>98</v>
      </c>
      <c r="G178" s="26" t="str">
        <f t="shared" ref="G178" si="321">C177</f>
        <v/>
      </c>
      <c r="H178" s="32" t="s">
        <v>99</v>
      </c>
      <c r="K178" s="38">
        <f t="shared" si="225"/>
        <v>0</v>
      </c>
      <c r="L178" s="9" t="str">
        <f t="shared" ref="L178" si="322">IF(H177,CONCATENATE("                            ",B178,C178,D178),"")</f>
        <v/>
      </c>
    </row>
    <row r="179" spans="1:12" hidden="1" x14ac:dyDescent="0.25">
      <c r="A179" s="24">
        <v>80</v>
      </c>
      <c r="B179" s="21" t="s">
        <v>93</v>
      </c>
      <c r="C179" s="25" t="str">
        <f>LOOKUP(A179,INICIO!A$10:A$109,INICIO!K$10:K$109)</f>
        <v/>
      </c>
      <c r="D179" s="22" t="s">
        <v>94</v>
      </c>
      <c r="E179" s="22"/>
      <c r="F179" s="22"/>
      <c r="G179" s="22"/>
      <c r="H179" s="34">
        <f>LOOKUP(A179,INICIO!A$10:A$109,INICIO!J$10:J$109)</f>
        <v>0</v>
      </c>
      <c r="K179" s="38">
        <f t="shared" si="225"/>
        <v>0</v>
      </c>
      <c r="L179" s="9" t="str">
        <f t="shared" ref="L179" si="323">IF(H179,CONCATENATE("                        ",B179,C179,D179),"")</f>
        <v/>
      </c>
    </row>
    <row r="180" spans="1:12" hidden="1" x14ac:dyDescent="0.25">
      <c r="A180" s="28">
        <f>LOOKUP(A179,INICIO!A$10:A$109,INICIO!C$10:C$109)</f>
        <v>30</v>
      </c>
      <c r="B180" s="31" t="str">
        <f t="shared" si="263"/>
        <v xml:space="preserve"> _empresa. = </v>
      </c>
      <c r="C180" s="23" t="str">
        <f t="shared" ref="C180" si="324">SUBSTITUTE(E180,"???",CONCATENATE(F180,G180,H180))</f>
        <v>0</v>
      </c>
      <c r="D180" s="23" t="s">
        <v>72</v>
      </c>
      <c r="E180" s="26">
        <f>LOOKUP(LISTAR!A180,AJUSTE!B:B,AJUSTE!F:F)</f>
        <v>0</v>
      </c>
      <c r="F180" s="30" t="s">
        <v>98</v>
      </c>
      <c r="G180" s="26" t="str">
        <f t="shared" ref="G180" si="325">C179</f>
        <v/>
      </c>
      <c r="H180" s="32" t="s">
        <v>99</v>
      </c>
      <c r="K180" s="38">
        <f t="shared" si="225"/>
        <v>0</v>
      </c>
      <c r="L180" s="9" t="str">
        <f t="shared" ref="L180" si="326">IF(H179,CONCATENATE("                            ",B180,C180,D180),"")</f>
        <v/>
      </c>
    </row>
    <row r="181" spans="1:12" hidden="1" x14ac:dyDescent="0.25">
      <c r="A181" s="24">
        <v>81</v>
      </c>
      <c r="B181" s="21" t="s">
        <v>93</v>
      </c>
      <c r="C181" s="25" t="str">
        <f>LOOKUP(A181,INICIO!A$10:A$109,INICIO!K$10:K$109)</f>
        <v/>
      </c>
      <c r="D181" s="22" t="s">
        <v>94</v>
      </c>
      <c r="E181" s="22"/>
      <c r="F181" s="22"/>
      <c r="G181" s="22"/>
      <c r="H181" s="34">
        <f>LOOKUP(A181,INICIO!A$10:A$109,INICIO!J$10:J$109)</f>
        <v>0</v>
      </c>
      <c r="K181" s="38">
        <f t="shared" si="225"/>
        <v>0</v>
      </c>
      <c r="L181" s="9" t="str">
        <f t="shared" ref="L181" si="327">IF(H181,CONCATENATE("                        ",B181,C181,D181),"")</f>
        <v/>
      </c>
    </row>
    <row r="182" spans="1:12" hidden="1" x14ac:dyDescent="0.25">
      <c r="A182" s="28">
        <f>LOOKUP(A181,INICIO!A$10:A$109,INICIO!C$10:C$109)</f>
        <v>30</v>
      </c>
      <c r="B182" s="31" t="str">
        <f t="shared" si="263"/>
        <v xml:space="preserve"> _empresa. = </v>
      </c>
      <c r="C182" s="23" t="str">
        <f t="shared" ref="C182" si="328">SUBSTITUTE(E182,"???",CONCATENATE(F182,G182,H182))</f>
        <v>0</v>
      </c>
      <c r="D182" s="23" t="s">
        <v>72</v>
      </c>
      <c r="E182" s="26">
        <f>LOOKUP(LISTAR!A182,AJUSTE!B:B,AJUSTE!F:F)</f>
        <v>0</v>
      </c>
      <c r="F182" s="30" t="s">
        <v>98</v>
      </c>
      <c r="G182" s="26" t="str">
        <f t="shared" ref="G182" si="329">C181</f>
        <v/>
      </c>
      <c r="H182" s="32" t="s">
        <v>99</v>
      </c>
      <c r="K182" s="38">
        <f t="shared" si="225"/>
        <v>0</v>
      </c>
      <c r="L182" s="9" t="str">
        <f t="shared" ref="L182" si="330">IF(H181,CONCATENATE("                            ",B182,C182,D182),"")</f>
        <v/>
      </c>
    </row>
    <row r="183" spans="1:12" hidden="1" x14ac:dyDescent="0.25">
      <c r="A183" s="24">
        <v>82</v>
      </c>
      <c r="B183" s="21" t="s">
        <v>93</v>
      </c>
      <c r="C183" s="25" t="str">
        <f>LOOKUP(A183,INICIO!A$10:A$109,INICIO!K$10:K$109)</f>
        <v/>
      </c>
      <c r="D183" s="22" t="s">
        <v>94</v>
      </c>
      <c r="E183" s="22"/>
      <c r="F183" s="22"/>
      <c r="G183" s="22"/>
      <c r="H183" s="34">
        <f>LOOKUP(A183,INICIO!A$10:A$109,INICIO!J$10:J$109)</f>
        <v>0</v>
      </c>
      <c r="K183" s="38">
        <f t="shared" si="225"/>
        <v>0</v>
      </c>
      <c r="L183" s="9" t="str">
        <f t="shared" ref="L183" si="331">IF(H183,CONCATENATE("                        ",B183,C183,D183),"")</f>
        <v/>
      </c>
    </row>
    <row r="184" spans="1:12" hidden="1" x14ac:dyDescent="0.25">
      <c r="A184" s="28">
        <f>LOOKUP(A183,INICIO!A$10:A$109,INICIO!C$10:C$109)</f>
        <v>30</v>
      </c>
      <c r="B184" s="31" t="str">
        <f t="shared" si="263"/>
        <v xml:space="preserve"> _empresa. = </v>
      </c>
      <c r="C184" s="23" t="str">
        <f t="shared" ref="C184" si="332">SUBSTITUTE(E184,"???",CONCATENATE(F184,G184,H184))</f>
        <v>0</v>
      </c>
      <c r="D184" s="23" t="s">
        <v>72</v>
      </c>
      <c r="E184" s="26">
        <f>LOOKUP(LISTAR!A184,AJUSTE!B:B,AJUSTE!F:F)</f>
        <v>0</v>
      </c>
      <c r="F184" s="30" t="s">
        <v>98</v>
      </c>
      <c r="G184" s="26" t="str">
        <f t="shared" ref="G184" si="333">C183</f>
        <v/>
      </c>
      <c r="H184" s="32" t="s">
        <v>99</v>
      </c>
      <c r="K184" s="38">
        <f t="shared" si="225"/>
        <v>0</v>
      </c>
      <c r="L184" s="9" t="str">
        <f t="shared" ref="L184" si="334">IF(H183,CONCATENATE("                            ",B184,C184,D184),"")</f>
        <v/>
      </c>
    </row>
    <row r="185" spans="1:12" hidden="1" x14ac:dyDescent="0.25">
      <c r="A185" s="24">
        <v>83</v>
      </c>
      <c r="B185" s="21" t="s">
        <v>93</v>
      </c>
      <c r="C185" s="25" t="str">
        <f>LOOKUP(A185,INICIO!A$10:A$109,INICIO!K$10:K$109)</f>
        <v/>
      </c>
      <c r="D185" s="22" t="s">
        <v>94</v>
      </c>
      <c r="E185" s="22"/>
      <c r="F185" s="22"/>
      <c r="G185" s="22"/>
      <c r="H185" s="34">
        <f>LOOKUP(A185,INICIO!A$10:A$109,INICIO!J$10:J$109)</f>
        <v>0</v>
      </c>
      <c r="K185" s="38">
        <f t="shared" si="225"/>
        <v>0</v>
      </c>
      <c r="L185" s="9" t="str">
        <f t="shared" ref="L185" si="335">IF(H185,CONCATENATE("                        ",B185,C185,D185),"")</f>
        <v/>
      </c>
    </row>
    <row r="186" spans="1:12" hidden="1" x14ac:dyDescent="0.25">
      <c r="A186" s="28">
        <f>LOOKUP(A185,INICIO!A$10:A$109,INICIO!C$10:C$109)</f>
        <v>30</v>
      </c>
      <c r="B186" s="31" t="str">
        <f t="shared" si="263"/>
        <v xml:space="preserve"> _empresa. = </v>
      </c>
      <c r="C186" s="23" t="str">
        <f t="shared" ref="C186" si="336">SUBSTITUTE(E186,"???",CONCATENATE(F186,G186,H186))</f>
        <v>0</v>
      </c>
      <c r="D186" s="23" t="s">
        <v>72</v>
      </c>
      <c r="E186" s="26">
        <f>LOOKUP(LISTAR!A186,AJUSTE!B:B,AJUSTE!F:F)</f>
        <v>0</v>
      </c>
      <c r="F186" s="30" t="s">
        <v>98</v>
      </c>
      <c r="G186" s="26" t="str">
        <f t="shared" ref="G186" si="337">C185</f>
        <v/>
      </c>
      <c r="H186" s="32" t="s">
        <v>99</v>
      </c>
      <c r="K186" s="38">
        <f t="shared" si="225"/>
        <v>0</v>
      </c>
      <c r="L186" s="9" t="str">
        <f t="shared" ref="L186" si="338">IF(H185,CONCATENATE("                            ",B186,C186,D186),"")</f>
        <v/>
      </c>
    </row>
    <row r="187" spans="1:12" hidden="1" x14ac:dyDescent="0.25">
      <c r="A187" s="24">
        <v>84</v>
      </c>
      <c r="B187" s="21" t="s">
        <v>93</v>
      </c>
      <c r="C187" s="25" t="str">
        <f>LOOKUP(A187,INICIO!A$10:A$109,INICIO!K$10:K$109)</f>
        <v/>
      </c>
      <c r="D187" s="22" t="s">
        <v>94</v>
      </c>
      <c r="E187" s="22"/>
      <c r="F187" s="22"/>
      <c r="G187" s="22"/>
      <c r="H187" s="34">
        <f>LOOKUP(A187,INICIO!A$10:A$109,INICIO!J$10:J$109)</f>
        <v>0</v>
      </c>
      <c r="K187" s="38">
        <f t="shared" si="225"/>
        <v>0</v>
      </c>
      <c r="L187" s="9" t="str">
        <f t="shared" ref="L187" si="339">IF(H187,CONCATENATE("                        ",B187,C187,D187),"")</f>
        <v/>
      </c>
    </row>
    <row r="188" spans="1:12" hidden="1" x14ac:dyDescent="0.25">
      <c r="A188" s="28">
        <f>LOOKUP(A187,INICIO!A$10:A$109,INICIO!C$10:C$109)</f>
        <v>30</v>
      </c>
      <c r="B188" s="31" t="str">
        <f t="shared" si="263"/>
        <v xml:space="preserve"> _empresa. = </v>
      </c>
      <c r="C188" s="23" t="str">
        <f t="shared" ref="C188" si="340">SUBSTITUTE(E188,"???",CONCATENATE(F188,G188,H188))</f>
        <v>0</v>
      </c>
      <c r="D188" s="23" t="s">
        <v>72</v>
      </c>
      <c r="E188" s="26">
        <f>LOOKUP(LISTAR!A188,AJUSTE!B:B,AJUSTE!F:F)</f>
        <v>0</v>
      </c>
      <c r="F188" s="30" t="s">
        <v>98</v>
      </c>
      <c r="G188" s="26" t="str">
        <f t="shared" ref="G188" si="341">C187</f>
        <v/>
      </c>
      <c r="H188" s="32" t="s">
        <v>99</v>
      </c>
      <c r="K188" s="38">
        <f t="shared" si="225"/>
        <v>0</v>
      </c>
      <c r="L188" s="9" t="str">
        <f t="shared" ref="L188" si="342">IF(H187,CONCATENATE("                            ",B188,C188,D188),"")</f>
        <v/>
      </c>
    </row>
    <row r="189" spans="1:12" hidden="1" x14ac:dyDescent="0.25">
      <c r="A189" s="24">
        <v>85</v>
      </c>
      <c r="B189" s="21" t="s">
        <v>93</v>
      </c>
      <c r="C189" s="25" t="str">
        <f>LOOKUP(A189,INICIO!A$10:A$109,INICIO!K$10:K$109)</f>
        <v/>
      </c>
      <c r="D189" s="22" t="s">
        <v>94</v>
      </c>
      <c r="E189" s="22"/>
      <c r="F189" s="22"/>
      <c r="G189" s="22"/>
      <c r="H189" s="34">
        <f>LOOKUP(A189,INICIO!A$10:A$109,INICIO!J$10:J$109)</f>
        <v>0</v>
      </c>
      <c r="K189" s="38">
        <f t="shared" si="225"/>
        <v>0</v>
      </c>
      <c r="L189" s="9" t="str">
        <f t="shared" ref="L189" si="343">IF(H189,CONCATENATE("                        ",B189,C189,D189),"")</f>
        <v/>
      </c>
    </row>
    <row r="190" spans="1:12" hidden="1" x14ac:dyDescent="0.25">
      <c r="A190" s="28">
        <f>LOOKUP(A189,INICIO!A$10:A$109,INICIO!C$10:C$109)</f>
        <v>30</v>
      </c>
      <c r="B190" s="31" t="str">
        <f t="shared" si="263"/>
        <v xml:space="preserve"> _empresa. = </v>
      </c>
      <c r="C190" s="23" t="str">
        <f t="shared" ref="C190" si="344">SUBSTITUTE(E190,"???",CONCATENATE(F190,G190,H190))</f>
        <v>0</v>
      </c>
      <c r="D190" s="23" t="s">
        <v>72</v>
      </c>
      <c r="E190" s="26">
        <f>LOOKUP(LISTAR!A190,AJUSTE!B:B,AJUSTE!F:F)</f>
        <v>0</v>
      </c>
      <c r="F190" s="30" t="s">
        <v>98</v>
      </c>
      <c r="G190" s="26" t="str">
        <f t="shared" ref="G190" si="345">C189</f>
        <v/>
      </c>
      <c r="H190" s="32" t="s">
        <v>99</v>
      </c>
      <c r="K190" s="38">
        <f t="shared" si="225"/>
        <v>0</v>
      </c>
      <c r="L190" s="9" t="str">
        <f t="shared" ref="L190" si="346">IF(H189,CONCATENATE("                            ",B190,C190,D190),"")</f>
        <v/>
      </c>
    </row>
    <row r="191" spans="1:12" hidden="1" x14ac:dyDescent="0.25">
      <c r="A191" s="24">
        <v>86</v>
      </c>
      <c r="B191" s="21" t="s">
        <v>93</v>
      </c>
      <c r="C191" s="25" t="str">
        <f>LOOKUP(A191,INICIO!A$10:A$109,INICIO!K$10:K$109)</f>
        <v/>
      </c>
      <c r="D191" s="22" t="s">
        <v>94</v>
      </c>
      <c r="E191" s="22"/>
      <c r="F191" s="22"/>
      <c r="G191" s="22"/>
      <c r="H191" s="34">
        <f>LOOKUP(A191,INICIO!A$10:A$109,INICIO!J$10:J$109)</f>
        <v>0</v>
      </c>
      <c r="K191" s="38">
        <f t="shared" si="225"/>
        <v>0</v>
      </c>
      <c r="L191" s="9" t="str">
        <f t="shared" ref="L191" si="347">IF(H191,CONCATENATE("                        ",B191,C191,D191),"")</f>
        <v/>
      </c>
    </row>
    <row r="192" spans="1:12" hidden="1" x14ac:dyDescent="0.25">
      <c r="A192" s="28">
        <f>LOOKUP(A191,INICIO!A$10:A$109,INICIO!C$10:C$109)</f>
        <v>30</v>
      </c>
      <c r="B192" s="31" t="str">
        <f t="shared" si="263"/>
        <v xml:space="preserve"> _empresa. = </v>
      </c>
      <c r="C192" s="23" t="str">
        <f t="shared" ref="C192" si="348">SUBSTITUTE(E192,"???",CONCATENATE(F192,G192,H192))</f>
        <v>0</v>
      </c>
      <c r="D192" s="23" t="s">
        <v>72</v>
      </c>
      <c r="E192" s="26">
        <f>LOOKUP(LISTAR!A192,AJUSTE!B:B,AJUSTE!F:F)</f>
        <v>0</v>
      </c>
      <c r="F192" s="30" t="s">
        <v>98</v>
      </c>
      <c r="G192" s="26" t="str">
        <f t="shared" ref="G192" si="349">C191</f>
        <v/>
      </c>
      <c r="H192" s="32" t="s">
        <v>99</v>
      </c>
      <c r="K192" s="38">
        <f t="shared" si="225"/>
        <v>0</v>
      </c>
      <c r="L192" s="9" t="str">
        <f t="shared" ref="L192" si="350">IF(H191,CONCATENATE("                            ",B192,C192,D192),"")</f>
        <v/>
      </c>
    </row>
    <row r="193" spans="1:12" hidden="1" x14ac:dyDescent="0.25">
      <c r="A193" s="24">
        <v>87</v>
      </c>
      <c r="B193" s="21" t="s">
        <v>93</v>
      </c>
      <c r="C193" s="25" t="str">
        <f>LOOKUP(A193,INICIO!A$10:A$109,INICIO!K$10:K$109)</f>
        <v/>
      </c>
      <c r="D193" s="22" t="s">
        <v>94</v>
      </c>
      <c r="E193" s="22"/>
      <c r="F193" s="22"/>
      <c r="G193" s="22"/>
      <c r="H193" s="34">
        <f>LOOKUP(A193,INICIO!A$10:A$109,INICIO!J$10:J$109)</f>
        <v>0</v>
      </c>
      <c r="K193" s="38">
        <f t="shared" si="225"/>
        <v>0</v>
      </c>
      <c r="L193" s="9" t="str">
        <f t="shared" ref="L193" si="351">IF(H193,CONCATENATE("                        ",B193,C193,D193),"")</f>
        <v/>
      </c>
    </row>
    <row r="194" spans="1:12" hidden="1" x14ac:dyDescent="0.25">
      <c r="A194" s="28">
        <f>LOOKUP(A193,INICIO!A$10:A$109,INICIO!C$10:C$109)</f>
        <v>30</v>
      </c>
      <c r="B194" s="31" t="str">
        <f t="shared" si="263"/>
        <v xml:space="preserve"> _empresa. = </v>
      </c>
      <c r="C194" s="23" t="str">
        <f t="shared" ref="C194" si="352">SUBSTITUTE(E194,"???",CONCATENATE(F194,G194,H194))</f>
        <v>0</v>
      </c>
      <c r="D194" s="23" t="s">
        <v>72</v>
      </c>
      <c r="E194" s="26">
        <f>LOOKUP(LISTAR!A194,AJUSTE!B:B,AJUSTE!F:F)</f>
        <v>0</v>
      </c>
      <c r="F194" s="30" t="s">
        <v>98</v>
      </c>
      <c r="G194" s="26" t="str">
        <f t="shared" ref="G194" si="353">C193</f>
        <v/>
      </c>
      <c r="H194" s="32" t="s">
        <v>99</v>
      </c>
      <c r="K194" s="38">
        <f t="shared" si="225"/>
        <v>0</v>
      </c>
      <c r="L194" s="9" t="str">
        <f t="shared" ref="L194" si="354">IF(H193,CONCATENATE("                            ",B194,C194,D194),"")</f>
        <v/>
      </c>
    </row>
    <row r="195" spans="1:12" hidden="1" x14ac:dyDescent="0.25">
      <c r="A195" s="24">
        <v>88</v>
      </c>
      <c r="B195" s="21" t="s">
        <v>93</v>
      </c>
      <c r="C195" s="25" t="str">
        <f>LOOKUP(A195,INICIO!A$10:A$109,INICIO!K$10:K$109)</f>
        <v/>
      </c>
      <c r="D195" s="22" t="s">
        <v>94</v>
      </c>
      <c r="E195" s="22"/>
      <c r="F195" s="22"/>
      <c r="G195" s="22"/>
      <c r="H195" s="34">
        <f>LOOKUP(A195,INICIO!A$10:A$109,INICIO!J$10:J$109)</f>
        <v>0</v>
      </c>
      <c r="K195" s="38">
        <f t="shared" ref="K195:K236" si="355">IF(L195&lt;&gt;"",1,0)</f>
        <v>0</v>
      </c>
      <c r="L195" s="9" t="str">
        <f t="shared" ref="L195" si="356">IF(H195,CONCATENATE("                        ",B195,C195,D195),"")</f>
        <v/>
      </c>
    </row>
    <row r="196" spans="1:12" hidden="1" x14ac:dyDescent="0.25">
      <c r="A196" s="28">
        <f>LOOKUP(A195,INICIO!A$10:A$109,INICIO!C$10:C$109)</f>
        <v>30</v>
      </c>
      <c r="B196" s="31" t="str">
        <f t="shared" si="263"/>
        <v xml:space="preserve"> _empresa. = </v>
      </c>
      <c r="C196" s="23" t="str">
        <f t="shared" ref="C196" si="357">SUBSTITUTE(E196,"???",CONCATENATE(F196,G196,H196))</f>
        <v>0</v>
      </c>
      <c r="D196" s="23" t="s">
        <v>72</v>
      </c>
      <c r="E196" s="26">
        <f>LOOKUP(LISTAR!A196,AJUSTE!B:B,AJUSTE!F:F)</f>
        <v>0</v>
      </c>
      <c r="F196" s="30" t="s">
        <v>98</v>
      </c>
      <c r="G196" s="26" t="str">
        <f t="shared" ref="G196" si="358">C195</f>
        <v/>
      </c>
      <c r="H196" s="32" t="s">
        <v>99</v>
      </c>
      <c r="K196" s="38">
        <f t="shared" si="355"/>
        <v>0</v>
      </c>
      <c r="L196" s="9" t="str">
        <f t="shared" ref="L196" si="359">IF(H195,CONCATENATE("                            ",B196,C196,D196),"")</f>
        <v/>
      </c>
    </row>
    <row r="197" spans="1:12" hidden="1" x14ac:dyDescent="0.25">
      <c r="A197" s="24">
        <v>89</v>
      </c>
      <c r="B197" s="21" t="s">
        <v>93</v>
      </c>
      <c r="C197" s="25" t="str">
        <f>LOOKUP(A197,INICIO!A$10:A$109,INICIO!K$10:K$109)</f>
        <v/>
      </c>
      <c r="D197" s="22" t="s">
        <v>94</v>
      </c>
      <c r="E197" s="22"/>
      <c r="F197" s="22"/>
      <c r="G197" s="22"/>
      <c r="H197" s="34">
        <f>LOOKUP(A197,INICIO!A$10:A$109,INICIO!J$10:J$109)</f>
        <v>0</v>
      </c>
      <c r="K197" s="38">
        <f t="shared" si="355"/>
        <v>0</v>
      </c>
      <c r="L197" s="9" t="str">
        <f t="shared" ref="L197" si="360">IF(H197,CONCATENATE("                        ",B197,C197,D197),"")</f>
        <v/>
      </c>
    </row>
    <row r="198" spans="1:12" hidden="1" x14ac:dyDescent="0.25">
      <c r="A198" s="28">
        <f>LOOKUP(A197,INICIO!A$10:A$109,INICIO!C$10:C$109)</f>
        <v>30</v>
      </c>
      <c r="B198" s="31" t="str">
        <f t="shared" si="263"/>
        <v xml:space="preserve"> _empresa. = </v>
      </c>
      <c r="C198" s="23" t="str">
        <f t="shared" ref="C198" si="361">SUBSTITUTE(E198,"???",CONCATENATE(F198,G198,H198))</f>
        <v>0</v>
      </c>
      <c r="D198" s="23" t="s">
        <v>72</v>
      </c>
      <c r="E198" s="26">
        <f>LOOKUP(LISTAR!A198,AJUSTE!B:B,AJUSTE!F:F)</f>
        <v>0</v>
      </c>
      <c r="F198" s="30" t="s">
        <v>98</v>
      </c>
      <c r="G198" s="26" t="str">
        <f t="shared" ref="G198" si="362">C197</f>
        <v/>
      </c>
      <c r="H198" s="32" t="s">
        <v>99</v>
      </c>
      <c r="K198" s="38">
        <f t="shared" si="355"/>
        <v>0</v>
      </c>
      <c r="L198" s="9" t="str">
        <f t="shared" ref="L198" si="363">IF(H197,CONCATENATE("                            ",B198,C198,D198),"")</f>
        <v/>
      </c>
    </row>
    <row r="199" spans="1:12" hidden="1" x14ac:dyDescent="0.25">
      <c r="A199" s="24">
        <v>90</v>
      </c>
      <c r="B199" s="21" t="s">
        <v>93</v>
      </c>
      <c r="C199" s="25" t="str">
        <f>LOOKUP(A199,INICIO!A$10:A$109,INICIO!K$10:K$109)</f>
        <v/>
      </c>
      <c r="D199" s="22" t="s">
        <v>94</v>
      </c>
      <c r="E199" s="22"/>
      <c r="F199" s="22"/>
      <c r="G199" s="22"/>
      <c r="H199" s="34">
        <f>LOOKUP(A199,INICIO!A$10:A$109,INICIO!J$10:J$109)</f>
        <v>0</v>
      </c>
      <c r="K199" s="38">
        <f t="shared" si="355"/>
        <v>0</v>
      </c>
      <c r="L199" s="9" t="str">
        <f t="shared" ref="L199" si="364">IF(H199,CONCATENATE("                        ",B199,C199,D199),"")</f>
        <v/>
      </c>
    </row>
    <row r="200" spans="1:12" hidden="1" x14ac:dyDescent="0.25">
      <c r="A200" s="28">
        <f>LOOKUP(A199,INICIO!A$10:A$109,INICIO!C$10:C$109)</f>
        <v>30</v>
      </c>
      <c r="B200" s="31" t="str">
        <f t="shared" si="263"/>
        <v xml:space="preserve"> _empresa. = </v>
      </c>
      <c r="C200" s="23" t="str">
        <f t="shared" ref="C200" si="365">SUBSTITUTE(E200,"???",CONCATENATE(F200,G200,H200))</f>
        <v>0</v>
      </c>
      <c r="D200" s="23" t="s">
        <v>72</v>
      </c>
      <c r="E200" s="26">
        <f>LOOKUP(LISTAR!A200,AJUSTE!B:B,AJUSTE!F:F)</f>
        <v>0</v>
      </c>
      <c r="F200" s="30" t="s">
        <v>98</v>
      </c>
      <c r="G200" s="26" t="str">
        <f t="shared" ref="G200" si="366">C199</f>
        <v/>
      </c>
      <c r="H200" s="32" t="s">
        <v>99</v>
      </c>
      <c r="K200" s="38">
        <f t="shared" si="355"/>
        <v>0</v>
      </c>
      <c r="L200" s="9" t="str">
        <f t="shared" ref="L200" si="367">IF(H199,CONCATENATE("                            ",B200,C200,D200),"")</f>
        <v/>
      </c>
    </row>
    <row r="201" spans="1:12" hidden="1" x14ac:dyDescent="0.25">
      <c r="A201" s="24">
        <v>91</v>
      </c>
      <c r="B201" s="21" t="s">
        <v>93</v>
      </c>
      <c r="C201" s="25" t="str">
        <f>LOOKUP(A201,INICIO!A$10:A$109,INICIO!K$10:K$109)</f>
        <v/>
      </c>
      <c r="D201" s="22" t="s">
        <v>94</v>
      </c>
      <c r="E201" s="22"/>
      <c r="F201" s="22"/>
      <c r="G201" s="22"/>
      <c r="H201" s="34">
        <f>LOOKUP(A201,INICIO!A$10:A$109,INICIO!J$10:J$109)</f>
        <v>0</v>
      </c>
      <c r="K201" s="38">
        <f t="shared" si="355"/>
        <v>0</v>
      </c>
      <c r="L201" s="9" t="str">
        <f t="shared" ref="L201" si="368">IF(H201,CONCATENATE("                        ",B201,C201,D201),"")</f>
        <v/>
      </c>
    </row>
    <row r="202" spans="1:12" hidden="1" x14ac:dyDescent="0.25">
      <c r="A202" s="28">
        <f>LOOKUP(A201,INICIO!A$10:A$109,INICIO!C$10:C$109)</f>
        <v>30</v>
      </c>
      <c r="B202" s="31" t="str">
        <f t="shared" si="263"/>
        <v xml:space="preserve"> _empresa. = </v>
      </c>
      <c r="C202" s="23" t="str">
        <f t="shared" ref="C202" si="369">SUBSTITUTE(E202,"???",CONCATENATE(F202,G202,H202))</f>
        <v>0</v>
      </c>
      <c r="D202" s="23" t="s">
        <v>72</v>
      </c>
      <c r="E202" s="26">
        <f>LOOKUP(LISTAR!A202,AJUSTE!B:B,AJUSTE!F:F)</f>
        <v>0</v>
      </c>
      <c r="F202" s="30" t="s">
        <v>98</v>
      </c>
      <c r="G202" s="26" t="str">
        <f t="shared" ref="G202" si="370">C201</f>
        <v/>
      </c>
      <c r="H202" s="32" t="s">
        <v>99</v>
      </c>
      <c r="K202" s="38">
        <f t="shared" si="355"/>
        <v>0</v>
      </c>
      <c r="L202" s="9" t="str">
        <f t="shared" ref="L202" si="371">IF(H201,CONCATENATE("                            ",B202,C202,D202),"")</f>
        <v/>
      </c>
    </row>
    <row r="203" spans="1:12" hidden="1" x14ac:dyDescent="0.25">
      <c r="A203" s="24">
        <v>92</v>
      </c>
      <c r="B203" s="21" t="s">
        <v>93</v>
      </c>
      <c r="C203" s="25" t="str">
        <f>LOOKUP(A203,INICIO!A$10:A$109,INICIO!K$10:K$109)</f>
        <v/>
      </c>
      <c r="D203" s="22" t="s">
        <v>94</v>
      </c>
      <c r="E203" s="22"/>
      <c r="F203" s="22"/>
      <c r="G203" s="22"/>
      <c r="H203" s="34">
        <f>LOOKUP(A203,INICIO!A$10:A$109,INICIO!J$10:J$109)</f>
        <v>0</v>
      </c>
      <c r="K203" s="38">
        <f t="shared" si="355"/>
        <v>0</v>
      </c>
      <c r="L203" s="9" t="str">
        <f t="shared" ref="L203" si="372">IF(H203,CONCATENATE("                        ",B203,C203,D203),"")</f>
        <v/>
      </c>
    </row>
    <row r="204" spans="1:12" hidden="1" x14ac:dyDescent="0.25">
      <c r="A204" s="28">
        <f>LOOKUP(A203,INICIO!A$10:A$109,INICIO!C$10:C$109)</f>
        <v>30</v>
      </c>
      <c r="B204" s="31" t="str">
        <f t="shared" si="263"/>
        <v xml:space="preserve"> _empresa. = </v>
      </c>
      <c r="C204" s="23" t="str">
        <f t="shared" ref="C204" si="373">SUBSTITUTE(E204,"???",CONCATENATE(F204,G204,H204))</f>
        <v>0</v>
      </c>
      <c r="D204" s="23" t="s">
        <v>72</v>
      </c>
      <c r="E204" s="26">
        <f>LOOKUP(LISTAR!A204,AJUSTE!B:B,AJUSTE!F:F)</f>
        <v>0</v>
      </c>
      <c r="F204" s="30" t="s">
        <v>98</v>
      </c>
      <c r="G204" s="26" t="str">
        <f t="shared" ref="G204" si="374">C203</f>
        <v/>
      </c>
      <c r="H204" s="32" t="s">
        <v>99</v>
      </c>
      <c r="K204" s="38">
        <f t="shared" si="355"/>
        <v>0</v>
      </c>
      <c r="L204" s="9" t="str">
        <f t="shared" ref="L204" si="375">IF(H203,CONCATENATE("                            ",B204,C204,D204),"")</f>
        <v/>
      </c>
    </row>
    <row r="205" spans="1:12" hidden="1" x14ac:dyDescent="0.25">
      <c r="A205" s="24">
        <v>93</v>
      </c>
      <c r="B205" s="21" t="s">
        <v>93</v>
      </c>
      <c r="C205" s="25" t="str">
        <f>LOOKUP(A205,INICIO!A$10:A$109,INICIO!K$10:K$109)</f>
        <v/>
      </c>
      <c r="D205" s="22" t="s">
        <v>94</v>
      </c>
      <c r="E205" s="22"/>
      <c r="F205" s="22"/>
      <c r="G205" s="22"/>
      <c r="H205" s="34">
        <f>LOOKUP(A205,INICIO!A$10:A$109,INICIO!J$10:J$109)</f>
        <v>0</v>
      </c>
      <c r="K205" s="38">
        <f t="shared" si="355"/>
        <v>0</v>
      </c>
      <c r="L205" s="9" t="str">
        <f t="shared" ref="L205" si="376">IF(H205,CONCATENATE("                        ",B205,C205,D205),"")</f>
        <v/>
      </c>
    </row>
    <row r="206" spans="1:12" hidden="1" x14ac:dyDescent="0.25">
      <c r="A206" s="28">
        <f>LOOKUP(A205,INICIO!A$10:A$109,INICIO!C$10:C$109)</f>
        <v>30</v>
      </c>
      <c r="B206" s="31" t="str">
        <f t="shared" si="263"/>
        <v xml:space="preserve"> _empresa. = </v>
      </c>
      <c r="C206" s="23" t="str">
        <f t="shared" ref="C206" si="377">SUBSTITUTE(E206,"???",CONCATENATE(F206,G206,H206))</f>
        <v>0</v>
      </c>
      <c r="D206" s="23" t="s">
        <v>72</v>
      </c>
      <c r="E206" s="26">
        <f>LOOKUP(LISTAR!A206,AJUSTE!B:B,AJUSTE!F:F)</f>
        <v>0</v>
      </c>
      <c r="F206" s="30" t="s">
        <v>98</v>
      </c>
      <c r="G206" s="26" t="str">
        <f t="shared" ref="G206" si="378">C205</f>
        <v/>
      </c>
      <c r="H206" s="32" t="s">
        <v>99</v>
      </c>
      <c r="K206" s="38">
        <f t="shared" si="355"/>
        <v>0</v>
      </c>
      <c r="L206" s="9" t="str">
        <f t="shared" ref="L206" si="379">IF(H205,CONCATENATE("                            ",B206,C206,D206),"")</f>
        <v/>
      </c>
    </row>
    <row r="207" spans="1:12" hidden="1" x14ac:dyDescent="0.25">
      <c r="A207" s="24">
        <v>94</v>
      </c>
      <c r="B207" s="21" t="s">
        <v>93</v>
      </c>
      <c r="C207" s="25" t="str">
        <f>LOOKUP(A207,INICIO!A$10:A$109,INICIO!K$10:K$109)</f>
        <v/>
      </c>
      <c r="D207" s="22" t="s">
        <v>94</v>
      </c>
      <c r="E207" s="22"/>
      <c r="F207" s="22"/>
      <c r="G207" s="22"/>
      <c r="H207" s="34">
        <f>LOOKUP(A207,INICIO!A$10:A$109,INICIO!J$10:J$109)</f>
        <v>0</v>
      </c>
      <c r="K207" s="38">
        <f t="shared" si="355"/>
        <v>0</v>
      </c>
      <c r="L207" s="9" t="str">
        <f t="shared" ref="L207" si="380">IF(H207,CONCATENATE("                        ",B207,C207,D207),"")</f>
        <v/>
      </c>
    </row>
    <row r="208" spans="1:12" hidden="1" x14ac:dyDescent="0.25">
      <c r="A208" s="28">
        <f>LOOKUP(A207,INICIO!A$10:A$109,INICIO!C$10:C$109)</f>
        <v>30</v>
      </c>
      <c r="B208" s="31" t="str">
        <f t="shared" si="263"/>
        <v xml:space="preserve"> _empresa. = </v>
      </c>
      <c r="C208" s="23" t="str">
        <f t="shared" ref="C208" si="381">SUBSTITUTE(E208,"???",CONCATENATE(F208,G208,H208))</f>
        <v>0</v>
      </c>
      <c r="D208" s="23" t="s">
        <v>72</v>
      </c>
      <c r="E208" s="26">
        <f>LOOKUP(LISTAR!A208,AJUSTE!B:B,AJUSTE!F:F)</f>
        <v>0</v>
      </c>
      <c r="F208" s="30" t="s">
        <v>98</v>
      </c>
      <c r="G208" s="26" t="str">
        <f t="shared" ref="G208" si="382">C207</f>
        <v/>
      </c>
      <c r="H208" s="32" t="s">
        <v>99</v>
      </c>
      <c r="K208" s="38">
        <f t="shared" si="355"/>
        <v>0</v>
      </c>
      <c r="L208" s="9" t="str">
        <f t="shared" ref="L208" si="383">IF(H207,CONCATENATE("                            ",B208,C208,D208),"")</f>
        <v/>
      </c>
    </row>
    <row r="209" spans="1:12" hidden="1" x14ac:dyDescent="0.25">
      <c r="A209" s="24">
        <v>95</v>
      </c>
      <c r="B209" s="21" t="s">
        <v>93</v>
      </c>
      <c r="C209" s="25" t="str">
        <f>LOOKUP(A209,INICIO!A$10:A$109,INICIO!K$10:K$109)</f>
        <v/>
      </c>
      <c r="D209" s="22" t="s">
        <v>94</v>
      </c>
      <c r="E209" s="22"/>
      <c r="F209" s="22"/>
      <c r="G209" s="22"/>
      <c r="H209" s="34">
        <f>LOOKUP(A209,INICIO!A$10:A$109,INICIO!J$10:J$109)</f>
        <v>0</v>
      </c>
      <c r="K209" s="38">
        <f t="shared" si="355"/>
        <v>0</v>
      </c>
      <c r="L209" s="9" t="str">
        <f t="shared" ref="L209" si="384">IF(H209,CONCATENATE("                        ",B209,C209,D209),"")</f>
        <v/>
      </c>
    </row>
    <row r="210" spans="1:12" hidden="1" x14ac:dyDescent="0.25">
      <c r="A210" s="28">
        <f>LOOKUP(A209,INICIO!A$10:A$109,INICIO!C$10:C$109)</f>
        <v>30</v>
      </c>
      <c r="B210" s="31" t="str">
        <f t="shared" si="263"/>
        <v xml:space="preserve"> _empresa. = </v>
      </c>
      <c r="C210" s="23" t="str">
        <f t="shared" ref="C210" si="385">SUBSTITUTE(E210,"???",CONCATENATE(F210,G210,H210))</f>
        <v>0</v>
      </c>
      <c r="D210" s="23" t="s">
        <v>72</v>
      </c>
      <c r="E210" s="26">
        <f>LOOKUP(LISTAR!A210,AJUSTE!B:B,AJUSTE!F:F)</f>
        <v>0</v>
      </c>
      <c r="F210" s="30" t="s">
        <v>98</v>
      </c>
      <c r="G210" s="26" t="str">
        <f t="shared" ref="G210" si="386">C209</f>
        <v/>
      </c>
      <c r="H210" s="32" t="s">
        <v>99</v>
      </c>
      <c r="K210" s="38">
        <f t="shared" si="355"/>
        <v>0</v>
      </c>
      <c r="L210" s="9" t="str">
        <f t="shared" ref="L210" si="387">IF(H209,CONCATENATE("                            ",B210,C210,D210),"")</f>
        <v/>
      </c>
    </row>
    <row r="211" spans="1:12" hidden="1" x14ac:dyDescent="0.25">
      <c r="A211" s="24">
        <v>96</v>
      </c>
      <c r="B211" s="21" t="s">
        <v>93</v>
      </c>
      <c r="C211" s="25" t="str">
        <f>LOOKUP(A211,INICIO!A$10:A$109,INICIO!K$10:K$109)</f>
        <v/>
      </c>
      <c r="D211" s="22" t="s">
        <v>94</v>
      </c>
      <c r="E211" s="22"/>
      <c r="F211" s="22"/>
      <c r="G211" s="22"/>
      <c r="H211" s="34">
        <f>LOOKUP(A211,INICIO!A$10:A$109,INICIO!J$10:J$109)</f>
        <v>0</v>
      </c>
      <c r="K211" s="38">
        <f t="shared" si="355"/>
        <v>0</v>
      </c>
      <c r="L211" s="9" t="str">
        <f t="shared" ref="L211" si="388">IF(H211,CONCATENATE("                        ",B211,C211,D211),"")</f>
        <v/>
      </c>
    </row>
    <row r="212" spans="1:12" hidden="1" x14ac:dyDescent="0.25">
      <c r="A212" s="28">
        <f>LOOKUP(A211,INICIO!A$10:A$109,INICIO!C$10:C$109)</f>
        <v>30</v>
      </c>
      <c r="B212" s="31" t="str">
        <f t="shared" si="263"/>
        <v xml:space="preserve"> _empresa. = </v>
      </c>
      <c r="C212" s="23" t="str">
        <f t="shared" ref="C212" si="389">SUBSTITUTE(E212,"???",CONCATENATE(F212,G212,H212))</f>
        <v>0</v>
      </c>
      <c r="D212" s="23" t="s">
        <v>72</v>
      </c>
      <c r="E212" s="26">
        <f>LOOKUP(LISTAR!A212,AJUSTE!B:B,AJUSTE!F:F)</f>
        <v>0</v>
      </c>
      <c r="F212" s="30" t="s">
        <v>98</v>
      </c>
      <c r="G212" s="26" t="str">
        <f t="shared" ref="G212" si="390">C211</f>
        <v/>
      </c>
      <c r="H212" s="32" t="s">
        <v>99</v>
      </c>
      <c r="K212" s="38">
        <f t="shared" si="355"/>
        <v>0</v>
      </c>
      <c r="L212" s="9" t="str">
        <f t="shared" ref="L212" si="391">IF(H211,CONCATENATE("                            ",B212,C212,D212),"")</f>
        <v/>
      </c>
    </row>
    <row r="213" spans="1:12" hidden="1" x14ac:dyDescent="0.25">
      <c r="A213" s="24">
        <v>97</v>
      </c>
      <c r="B213" s="21" t="s">
        <v>93</v>
      </c>
      <c r="C213" s="25" t="str">
        <f>LOOKUP(A213,INICIO!A$10:A$109,INICIO!K$10:K$109)</f>
        <v/>
      </c>
      <c r="D213" s="22" t="s">
        <v>94</v>
      </c>
      <c r="E213" s="22"/>
      <c r="F213" s="22"/>
      <c r="G213" s="22"/>
      <c r="H213" s="34">
        <f>LOOKUP(A213,INICIO!A$10:A$109,INICIO!J$10:J$109)</f>
        <v>0</v>
      </c>
      <c r="K213" s="38">
        <f t="shared" si="355"/>
        <v>0</v>
      </c>
      <c r="L213" s="9" t="str">
        <f t="shared" ref="L213" si="392">IF(H213,CONCATENATE("                        ",B213,C213,D213),"")</f>
        <v/>
      </c>
    </row>
    <row r="214" spans="1:12" hidden="1" x14ac:dyDescent="0.25">
      <c r="A214" s="28">
        <f>LOOKUP(A213,INICIO!A$10:A$109,INICIO!C$10:C$109)</f>
        <v>30</v>
      </c>
      <c r="B214" s="31" t="str">
        <f t="shared" ref="B214:B222" si="393">CONCATENATE(C$19,".",C213," = ")</f>
        <v xml:space="preserve"> _empresa. = </v>
      </c>
      <c r="C214" s="23" t="str">
        <f t="shared" ref="C214" si="394">SUBSTITUTE(E214,"???",CONCATENATE(F214,G214,H214))</f>
        <v>0</v>
      </c>
      <c r="D214" s="23" t="s">
        <v>72</v>
      </c>
      <c r="E214" s="26">
        <f>LOOKUP(LISTAR!A214,AJUSTE!B:B,AJUSTE!F:F)</f>
        <v>0</v>
      </c>
      <c r="F214" s="30" t="s">
        <v>98</v>
      </c>
      <c r="G214" s="26" t="str">
        <f t="shared" ref="G214" si="395">C213</f>
        <v/>
      </c>
      <c r="H214" s="32" t="s">
        <v>99</v>
      </c>
      <c r="K214" s="38">
        <f t="shared" si="355"/>
        <v>0</v>
      </c>
      <c r="L214" s="9" t="str">
        <f t="shared" ref="L214" si="396">IF(H213,CONCATENATE("                            ",B214,C214,D214),"")</f>
        <v/>
      </c>
    </row>
    <row r="215" spans="1:12" hidden="1" x14ac:dyDescent="0.25">
      <c r="A215" s="24">
        <v>98</v>
      </c>
      <c r="B215" s="21" t="s">
        <v>93</v>
      </c>
      <c r="C215" s="25" t="str">
        <f>LOOKUP(A215,INICIO!A$10:A$109,INICIO!K$10:K$109)</f>
        <v/>
      </c>
      <c r="D215" s="22" t="s">
        <v>94</v>
      </c>
      <c r="E215" s="22"/>
      <c r="F215" s="22"/>
      <c r="G215" s="22"/>
      <c r="H215" s="34">
        <f>LOOKUP(A215,INICIO!A$10:A$109,INICIO!J$10:J$109)</f>
        <v>0</v>
      </c>
      <c r="K215" s="38">
        <f t="shared" si="355"/>
        <v>0</v>
      </c>
      <c r="L215" s="9" t="str">
        <f t="shared" ref="L215" si="397">IF(H215,CONCATENATE("                        ",B215,C215,D215),"")</f>
        <v/>
      </c>
    </row>
    <row r="216" spans="1:12" hidden="1" x14ac:dyDescent="0.25">
      <c r="A216" s="28">
        <f>LOOKUP(A215,INICIO!A$10:A$109,INICIO!C$10:C$109)</f>
        <v>30</v>
      </c>
      <c r="B216" s="31" t="str">
        <f t="shared" si="393"/>
        <v xml:space="preserve"> _empresa. = </v>
      </c>
      <c r="C216" s="23" t="str">
        <f t="shared" ref="C216" si="398">SUBSTITUTE(E216,"???",CONCATENATE(F216,G216,H216))</f>
        <v>0</v>
      </c>
      <c r="D216" s="23" t="s">
        <v>72</v>
      </c>
      <c r="E216" s="26">
        <f>LOOKUP(LISTAR!A216,AJUSTE!B:B,AJUSTE!F:F)</f>
        <v>0</v>
      </c>
      <c r="F216" s="30" t="s">
        <v>98</v>
      </c>
      <c r="G216" s="26" t="str">
        <f t="shared" ref="G216" si="399">C215</f>
        <v/>
      </c>
      <c r="H216" s="32" t="s">
        <v>99</v>
      </c>
      <c r="K216" s="38">
        <f t="shared" si="355"/>
        <v>0</v>
      </c>
      <c r="L216" s="9" t="str">
        <f t="shared" ref="L216" si="400">IF(H215,CONCATENATE("                            ",B216,C216,D216),"")</f>
        <v/>
      </c>
    </row>
    <row r="217" spans="1:12" hidden="1" x14ac:dyDescent="0.25">
      <c r="A217" s="24">
        <v>99</v>
      </c>
      <c r="B217" s="21" t="s">
        <v>93</v>
      </c>
      <c r="C217" s="25" t="str">
        <f>LOOKUP(A217,INICIO!A$10:A$109,INICIO!K$10:K$109)</f>
        <v/>
      </c>
      <c r="D217" s="22" t="s">
        <v>94</v>
      </c>
      <c r="E217" s="22"/>
      <c r="F217" s="22"/>
      <c r="G217" s="22"/>
      <c r="H217" s="34">
        <f>LOOKUP(A217,INICIO!A$10:A$109,INICIO!J$10:J$109)</f>
        <v>0</v>
      </c>
      <c r="K217" s="38">
        <f t="shared" si="355"/>
        <v>0</v>
      </c>
      <c r="L217" s="9" t="str">
        <f t="shared" ref="L217" si="401">IF(H217,CONCATENATE("                        ",B217,C217,D217),"")</f>
        <v/>
      </c>
    </row>
    <row r="218" spans="1:12" hidden="1" x14ac:dyDescent="0.25">
      <c r="A218" s="28">
        <f>LOOKUP(A217,INICIO!A$10:A$109,INICIO!C$10:C$109)</f>
        <v>30</v>
      </c>
      <c r="B218" s="31" t="str">
        <f t="shared" si="393"/>
        <v xml:space="preserve"> _empresa. = </v>
      </c>
      <c r="C218" s="23" t="str">
        <f t="shared" ref="C218" si="402">SUBSTITUTE(E218,"???",CONCATENATE(F218,G218,H218))</f>
        <v>0</v>
      </c>
      <c r="D218" s="23" t="s">
        <v>72</v>
      </c>
      <c r="E218" s="26">
        <f>LOOKUP(LISTAR!A218,AJUSTE!B:B,AJUSTE!F:F)</f>
        <v>0</v>
      </c>
      <c r="F218" s="30" t="s">
        <v>98</v>
      </c>
      <c r="G218" s="26" t="str">
        <f t="shared" ref="G218" si="403">C217</f>
        <v/>
      </c>
      <c r="H218" s="32" t="s">
        <v>99</v>
      </c>
      <c r="K218" s="38">
        <f t="shared" si="355"/>
        <v>0</v>
      </c>
      <c r="L218" s="9" t="str">
        <f t="shared" ref="L218" si="404">IF(H217,CONCATENATE("                            ",B218,C218,D218),"")</f>
        <v/>
      </c>
    </row>
    <row r="219" spans="1:12" hidden="1" x14ac:dyDescent="0.25">
      <c r="A219" s="24">
        <v>100</v>
      </c>
      <c r="B219" s="21" t="s">
        <v>93</v>
      </c>
      <c r="C219" s="25" t="str">
        <f>LOOKUP(A219,INICIO!A$10:A$109,INICIO!K$10:K$109)</f>
        <v/>
      </c>
      <c r="D219" s="22" t="s">
        <v>94</v>
      </c>
      <c r="E219" s="22"/>
      <c r="F219" s="22"/>
      <c r="G219" s="22"/>
      <c r="H219" s="34">
        <f>LOOKUP(A219,INICIO!A$10:A$109,INICIO!J$10:J$109)</f>
        <v>0</v>
      </c>
      <c r="K219" s="38">
        <f t="shared" si="355"/>
        <v>0</v>
      </c>
      <c r="L219" s="9" t="str">
        <f t="shared" ref="L219" si="405">IF(H219,CONCATENATE("                        ",B219,C219,D219),"")</f>
        <v/>
      </c>
    </row>
    <row r="220" spans="1:12" hidden="1" x14ac:dyDescent="0.25">
      <c r="A220" s="28">
        <f>LOOKUP(A219,INICIO!A$10:A$109,INICIO!C$10:C$109)</f>
        <v>30</v>
      </c>
      <c r="B220" s="31" t="str">
        <f t="shared" si="393"/>
        <v xml:space="preserve"> _empresa. = </v>
      </c>
      <c r="C220" s="23" t="str">
        <f t="shared" ref="C220" si="406">SUBSTITUTE(E220,"???",CONCATENATE(F220,G220,H220))</f>
        <v>0</v>
      </c>
      <c r="D220" s="23" t="s">
        <v>72</v>
      </c>
      <c r="E220" s="26">
        <f>LOOKUP(LISTAR!A220,AJUSTE!B:B,AJUSTE!F:F)</f>
        <v>0</v>
      </c>
      <c r="F220" s="30" t="s">
        <v>98</v>
      </c>
      <c r="G220" s="26" t="str">
        <f t="shared" ref="G220" si="407">C219</f>
        <v/>
      </c>
      <c r="H220" s="32" t="s">
        <v>99</v>
      </c>
      <c r="K220" s="38">
        <f t="shared" si="355"/>
        <v>0</v>
      </c>
      <c r="L220" s="9" t="str">
        <f t="shared" ref="L220" si="408">IF(H219,CONCATENATE("                            ",B220,C220,D220),"")</f>
        <v/>
      </c>
    </row>
    <row r="221" spans="1:12" hidden="1" x14ac:dyDescent="0.25">
      <c r="A221" s="24">
        <v>101</v>
      </c>
      <c r="B221" s="21" t="s">
        <v>93</v>
      </c>
      <c r="C221" s="25" t="str">
        <f>LOOKUP(A221,INICIO!A$10:A$109,INICIO!K$10:K$109)</f>
        <v/>
      </c>
      <c r="D221" s="22" t="s">
        <v>94</v>
      </c>
      <c r="E221" s="22"/>
      <c r="F221" s="22"/>
      <c r="G221" s="22"/>
      <c r="H221" s="34">
        <f>LOOKUP(A221,INICIO!A$10:A$109,INICIO!J$10:J$109)</f>
        <v>0</v>
      </c>
      <c r="K221" s="38">
        <f t="shared" si="355"/>
        <v>0</v>
      </c>
      <c r="L221" s="9" t="str">
        <f t="shared" ref="L221" si="409">IF(H221,CONCATENATE("                        ",B221,C221,D221),"")</f>
        <v/>
      </c>
    </row>
    <row r="222" spans="1:12" hidden="1" x14ac:dyDescent="0.25">
      <c r="A222" s="28">
        <f>LOOKUP(A221,INICIO!A$10:A$109,INICIO!C$10:C$109)</f>
        <v>30</v>
      </c>
      <c r="B222" s="31" t="str">
        <f t="shared" si="393"/>
        <v xml:space="preserve"> _empresa. = </v>
      </c>
      <c r="C222" s="23" t="str">
        <f t="shared" ref="C222" si="410">SUBSTITUTE(E222,"???",CONCATENATE(F222,G222,H222))</f>
        <v>0</v>
      </c>
      <c r="D222" s="23" t="s">
        <v>72</v>
      </c>
      <c r="E222" s="26">
        <f>LOOKUP(LISTAR!A222,AJUSTE!B:B,AJUSTE!F:F)</f>
        <v>0</v>
      </c>
      <c r="F222" s="30" t="s">
        <v>98</v>
      </c>
      <c r="G222" s="26" t="str">
        <f t="shared" ref="G222" si="411">C221</f>
        <v/>
      </c>
      <c r="H222" s="32" t="s">
        <v>99</v>
      </c>
      <c r="K222" s="38">
        <f t="shared" si="355"/>
        <v>0</v>
      </c>
      <c r="L222" s="9" t="str">
        <f t="shared" ref="L222" si="412">IF(H221,CONCATENATE("                            ",B222,C222,D222),"")</f>
        <v/>
      </c>
    </row>
    <row r="223" spans="1:12" x14ac:dyDescent="0.25">
      <c r="A223" s="33"/>
      <c r="B223" s="33" t="s">
        <v>122</v>
      </c>
      <c r="C223" s="33"/>
      <c r="D223" s="33"/>
      <c r="E223" s="33"/>
      <c r="F223" s="33"/>
      <c r="G223" s="33"/>
      <c r="H223" s="33"/>
      <c r="K223" s="38">
        <f t="shared" si="355"/>
        <v>1</v>
      </c>
      <c r="L223" s="9" t="str">
        <f>CONCATENATE("                        ",B223,C223,D223,E223,F223)</f>
        <v xml:space="preserve">                        // Fim das Propriedades</v>
      </c>
    </row>
    <row r="224" spans="1:12" x14ac:dyDescent="0.25">
      <c r="B224" t="str">
        <f>D14</f>
        <v>ListadeEmpresa</v>
      </c>
      <c r="C224" t="s">
        <v>96</v>
      </c>
      <c r="D224" t="str">
        <f>C19</f>
        <v xml:space="preserve"> _empresa</v>
      </c>
      <c r="E224" t="s">
        <v>1</v>
      </c>
      <c r="K224" s="38">
        <f t="shared" si="355"/>
        <v>1</v>
      </c>
      <c r="L224" s="9" t="str">
        <f>CONCATENATE("                        ",B224,C224,D224,E224,F224)</f>
        <v xml:space="preserve">                        ListadeEmpresa.Add( _empresa);</v>
      </c>
    </row>
    <row r="225" spans="2:12" x14ac:dyDescent="0.25">
      <c r="B225" t="s">
        <v>71</v>
      </c>
      <c r="K225" s="38">
        <f t="shared" si="355"/>
        <v>1</v>
      </c>
      <c r="L225" s="9" t="str">
        <f>CONCATENATE("                        ",B225,C225,D225,E225,F225)</f>
        <v xml:space="preserve">                        }</v>
      </c>
    </row>
    <row r="226" spans="2:12" x14ac:dyDescent="0.25">
      <c r="B226" t="s">
        <v>97</v>
      </c>
      <c r="C226" t="str">
        <f>B224</f>
        <v>ListadeEmpresa</v>
      </c>
      <c r="D226" t="s">
        <v>72</v>
      </c>
      <c r="K226" s="38">
        <f t="shared" si="355"/>
        <v>1</v>
      </c>
      <c r="L226" s="9" t="str">
        <f>CONCATENATE("                    ",B226,C226,D226,E226,F226)</f>
        <v xml:space="preserve">                    return ListadeEmpresa;</v>
      </c>
    </row>
    <row r="227" spans="2:12" x14ac:dyDescent="0.25">
      <c r="B227" t="s">
        <v>71</v>
      </c>
      <c r="K227" s="38">
        <f t="shared" si="355"/>
        <v>1</v>
      </c>
      <c r="L227" s="9" t="str">
        <f>CONCATENATE("                    ",B227,C227,D227,E227,F227)</f>
        <v xml:space="preserve">                    }</v>
      </c>
    </row>
    <row r="228" spans="2:12" x14ac:dyDescent="0.25">
      <c r="B228" t="s">
        <v>82</v>
      </c>
      <c r="K228" s="38">
        <f t="shared" si="355"/>
        <v>1</v>
      </c>
      <c r="L228" s="9" t="str">
        <f t="shared" ref="L228:L233" si="413">CONCATENATE(B228,C228,D228,E228,F228)</f>
        <v xml:space="preserve">                return null;</v>
      </c>
    </row>
    <row r="229" spans="2:12" x14ac:dyDescent="0.25">
      <c r="B229" t="s">
        <v>12</v>
      </c>
      <c r="K229" s="38">
        <f t="shared" si="355"/>
        <v>1</v>
      </c>
      <c r="L229" s="9" t="str">
        <f t="shared" si="413"/>
        <v xml:space="preserve">            }</v>
      </c>
    </row>
    <row r="230" spans="2:12" x14ac:dyDescent="0.25">
      <c r="B230" t="s">
        <v>83</v>
      </c>
      <c r="K230" s="38">
        <f t="shared" si="355"/>
        <v>1</v>
      </c>
      <c r="L230" s="9" t="str">
        <f t="shared" si="413"/>
        <v xml:space="preserve">            catch (Exception)</v>
      </c>
    </row>
    <row r="231" spans="2:12" x14ac:dyDescent="0.25">
      <c r="B231" t="s">
        <v>11</v>
      </c>
      <c r="K231" s="38">
        <f t="shared" si="355"/>
        <v>1</v>
      </c>
      <c r="L231" s="9" t="str">
        <f t="shared" si="413"/>
        <v xml:space="preserve">            {</v>
      </c>
    </row>
    <row r="232" spans="2:12" x14ac:dyDescent="0.25">
      <c r="B232" t="s">
        <v>82</v>
      </c>
      <c r="K232" s="38">
        <f t="shared" si="355"/>
        <v>1</v>
      </c>
      <c r="L232" s="9" t="str">
        <f t="shared" si="413"/>
        <v xml:space="preserve">                return null;</v>
      </c>
    </row>
    <row r="233" spans="2:12" x14ac:dyDescent="0.25">
      <c r="B233" t="s">
        <v>12</v>
      </c>
      <c r="K233" s="38">
        <f t="shared" si="355"/>
        <v>1</v>
      </c>
      <c r="L233" s="9" t="str">
        <f t="shared" si="413"/>
        <v xml:space="preserve">            }</v>
      </c>
    </row>
    <row r="234" spans="2:12" x14ac:dyDescent="0.25">
      <c r="B234" t="s">
        <v>121</v>
      </c>
      <c r="K234" s="38">
        <f t="shared" si="355"/>
        <v>1</v>
      </c>
      <c r="L234" s="9" t="str">
        <f t="shared" ref="L234:L236" si="414">CONCATENATE(B234,C234,D234,E234,F234)</f>
        <v xml:space="preserve">    </v>
      </c>
    </row>
    <row r="235" spans="2:12" x14ac:dyDescent="0.25">
      <c r="B235" t="s">
        <v>70</v>
      </c>
      <c r="K235" s="38">
        <f t="shared" si="355"/>
        <v>1</v>
      </c>
      <c r="L235" s="9" t="str">
        <f t="shared" si="414"/>
        <v xml:space="preserve">        }</v>
      </c>
    </row>
    <row r="236" spans="2:12" x14ac:dyDescent="0.25">
      <c r="B236" t="s">
        <v>119</v>
      </c>
      <c r="K236" s="38">
        <f t="shared" si="355"/>
        <v>1</v>
      </c>
      <c r="L236" s="9" t="str">
        <f t="shared" si="414"/>
        <v xml:space="preserve">  </v>
      </c>
    </row>
  </sheetData>
  <sheetProtection sheet="1" objects="1" scenarios="1"/>
  <autoFilter ref="K1:L236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ignoredErrors>
    <ignoredError sqref="C22:C2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FF0000"/>
  </sheetPr>
  <dimension ref="B1:J32"/>
  <sheetViews>
    <sheetView showGridLines="0" workbookViewId="0">
      <selection activeCell="I12" sqref="I12"/>
    </sheetView>
  </sheetViews>
  <sheetFormatPr defaultRowHeight="15" x14ac:dyDescent="0.25"/>
  <cols>
    <col min="2" max="2" width="9.140625" style="8"/>
    <col min="3" max="3" width="20.42578125" customWidth="1"/>
    <col min="4" max="4" width="17.28515625" customWidth="1"/>
    <col min="5" max="5" width="13.85546875" customWidth="1"/>
    <col min="6" max="6" width="41.5703125" customWidth="1"/>
    <col min="7" max="7" width="34.5703125" customWidth="1"/>
  </cols>
  <sheetData>
    <row r="1" spans="2:10" x14ac:dyDescent="0.25">
      <c r="B1" s="11" t="s">
        <v>37</v>
      </c>
      <c r="C1" s="11" t="s">
        <v>6</v>
      </c>
      <c r="D1" s="11" t="s">
        <v>7</v>
      </c>
      <c r="E1" s="11" t="s">
        <v>5</v>
      </c>
      <c r="F1" s="29" t="s">
        <v>149</v>
      </c>
      <c r="G1" s="29" t="s">
        <v>150</v>
      </c>
    </row>
    <row r="2" spans="2:10" x14ac:dyDescent="0.25">
      <c r="B2" s="10">
        <v>1</v>
      </c>
      <c r="C2" s="12" t="s">
        <v>8</v>
      </c>
      <c r="D2" s="12" t="s">
        <v>42</v>
      </c>
      <c r="E2" s="12" t="s">
        <v>2</v>
      </c>
      <c r="F2" s="12" t="s">
        <v>104</v>
      </c>
      <c r="G2" s="12"/>
    </row>
    <row r="3" spans="2:10" x14ac:dyDescent="0.25">
      <c r="B3" s="10">
        <v>2</v>
      </c>
      <c r="C3" s="12" t="s">
        <v>38</v>
      </c>
      <c r="D3" s="12" t="s">
        <v>44</v>
      </c>
      <c r="E3" s="12" t="s">
        <v>41</v>
      </c>
      <c r="F3" s="12" t="s">
        <v>101</v>
      </c>
      <c r="G3" s="12"/>
    </row>
    <row r="4" spans="2:10" x14ac:dyDescent="0.25">
      <c r="B4" s="10">
        <v>3</v>
      </c>
      <c r="C4" s="12" t="s">
        <v>39</v>
      </c>
      <c r="D4" s="12" t="s">
        <v>43</v>
      </c>
      <c r="E4" s="12" t="s">
        <v>46</v>
      </c>
      <c r="F4" s="12" t="s">
        <v>102</v>
      </c>
      <c r="G4" s="12"/>
    </row>
    <row r="5" spans="2:10" x14ac:dyDescent="0.25">
      <c r="B5" s="10">
        <v>4</v>
      </c>
      <c r="C5" s="12" t="s">
        <v>40</v>
      </c>
      <c r="D5" s="12" t="s">
        <v>45</v>
      </c>
      <c r="E5" s="12" t="s">
        <v>3</v>
      </c>
      <c r="F5" s="12" t="s">
        <v>100</v>
      </c>
      <c r="G5" s="12"/>
    </row>
    <row r="6" spans="2:10" x14ac:dyDescent="0.25">
      <c r="B6" s="10">
        <v>5</v>
      </c>
      <c r="C6" s="12" t="s">
        <v>57</v>
      </c>
      <c r="D6" s="12" t="s">
        <v>56</v>
      </c>
      <c r="E6" s="12" t="s">
        <v>78</v>
      </c>
      <c r="F6" s="12"/>
      <c r="G6" s="12"/>
    </row>
    <row r="7" spans="2:10" x14ac:dyDescent="0.25">
      <c r="B7" s="10">
        <v>6</v>
      </c>
      <c r="C7" s="12" t="s">
        <v>60</v>
      </c>
      <c r="D7" s="12" t="s">
        <v>61</v>
      </c>
      <c r="E7" s="12" t="s">
        <v>76</v>
      </c>
      <c r="F7" s="12" t="s">
        <v>103</v>
      </c>
      <c r="G7" s="12"/>
    </row>
    <row r="8" spans="2:10" x14ac:dyDescent="0.25">
      <c r="B8" s="10">
        <v>7</v>
      </c>
      <c r="C8" s="12" t="s">
        <v>58</v>
      </c>
      <c r="D8" s="12" t="s">
        <v>62</v>
      </c>
      <c r="E8" s="12" t="s">
        <v>76</v>
      </c>
      <c r="F8" s="12" t="s">
        <v>103</v>
      </c>
      <c r="G8" s="12"/>
    </row>
    <row r="9" spans="2:10" x14ac:dyDescent="0.25">
      <c r="B9" s="10">
        <v>8</v>
      </c>
      <c r="C9" s="12" t="s">
        <v>59</v>
      </c>
      <c r="D9" s="12" t="s">
        <v>63</v>
      </c>
      <c r="E9" s="12" t="s">
        <v>76</v>
      </c>
      <c r="F9" s="12" t="s">
        <v>103</v>
      </c>
      <c r="G9" s="12"/>
    </row>
    <row r="10" spans="2:10" x14ac:dyDescent="0.25">
      <c r="B10" s="10">
        <v>9</v>
      </c>
      <c r="C10" s="12"/>
      <c r="D10" s="12"/>
      <c r="E10" s="12"/>
      <c r="F10" s="12"/>
      <c r="G10" s="12"/>
      <c r="J10">
        <v>30</v>
      </c>
    </row>
    <row r="11" spans="2:10" x14ac:dyDescent="0.25">
      <c r="B11" s="10">
        <v>10</v>
      </c>
      <c r="C11" s="12"/>
      <c r="D11" s="12"/>
      <c r="E11" s="12"/>
      <c r="F11" s="12"/>
      <c r="G11" s="12"/>
    </row>
    <row r="12" spans="2:10" x14ac:dyDescent="0.25">
      <c r="B12" s="10">
        <v>11</v>
      </c>
      <c r="C12" s="12"/>
      <c r="D12" s="12"/>
      <c r="E12" s="12"/>
      <c r="F12" s="12"/>
      <c r="G12" s="12"/>
    </row>
    <row r="13" spans="2:10" x14ac:dyDescent="0.25">
      <c r="B13" s="10">
        <v>12</v>
      </c>
      <c r="C13" s="12"/>
      <c r="D13" s="12"/>
      <c r="E13" s="12"/>
      <c r="F13" s="12"/>
      <c r="G13" s="12"/>
    </row>
    <row r="14" spans="2:10" x14ac:dyDescent="0.25">
      <c r="B14" s="10">
        <v>13</v>
      </c>
      <c r="C14" s="12"/>
      <c r="D14" s="12"/>
      <c r="E14" s="12"/>
      <c r="F14" s="12"/>
      <c r="G14" s="12"/>
    </row>
    <row r="15" spans="2:10" x14ac:dyDescent="0.25">
      <c r="B15" s="10">
        <v>14</v>
      </c>
      <c r="C15" s="12"/>
      <c r="D15" s="12"/>
      <c r="E15" s="12"/>
      <c r="F15" s="12"/>
      <c r="G15" s="12"/>
    </row>
    <row r="16" spans="2:10" x14ac:dyDescent="0.25">
      <c r="B16" s="10">
        <v>15</v>
      </c>
      <c r="C16" s="12"/>
      <c r="D16" s="12"/>
      <c r="E16" s="12"/>
      <c r="F16" s="12"/>
      <c r="G16" s="12"/>
    </row>
    <row r="17" spans="2:7" x14ac:dyDescent="0.25">
      <c r="B17" s="10">
        <v>16</v>
      </c>
      <c r="C17" s="12"/>
      <c r="D17" s="12"/>
      <c r="E17" s="12"/>
      <c r="F17" s="12"/>
      <c r="G17" s="12"/>
    </row>
    <row r="18" spans="2:7" x14ac:dyDescent="0.25">
      <c r="B18" s="10">
        <v>17</v>
      </c>
      <c r="C18" s="12"/>
      <c r="D18" s="12"/>
      <c r="E18" s="12"/>
      <c r="F18" s="12"/>
      <c r="G18" s="12"/>
    </row>
    <row r="19" spans="2:7" x14ac:dyDescent="0.25">
      <c r="B19" s="10">
        <v>18</v>
      </c>
      <c r="C19" s="12"/>
      <c r="D19" s="12"/>
      <c r="E19" s="12"/>
      <c r="F19" s="12"/>
      <c r="G19" s="12"/>
    </row>
    <row r="20" spans="2:7" x14ac:dyDescent="0.25">
      <c r="B20" s="10">
        <v>19</v>
      </c>
      <c r="C20" s="12"/>
      <c r="D20" s="12"/>
      <c r="E20" s="12"/>
      <c r="F20" s="12"/>
      <c r="G20" s="12"/>
    </row>
    <row r="21" spans="2:7" x14ac:dyDescent="0.25">
      <c r="B21" s="10">
        <v>20</v>
      </c>
      <c r="C21" s="12"/>
      <c r="D21" s="12"/>
      <c r="E21" s="12"/>
      <c r="F21" s="12"/>
      <c r="G21" s="12"/>
    </row>
    <row r="22" spans="2:7" x14ac:dyDescent="0.25">
      <c r="B22" s="10">
        <v>21</v>
      </c>
      <c r="C22" s="12"/>
      <c r="D22" s="12"/>
      <c r="E22" s="12"/>
      <c r="F22" s="12"/>
      <c r="G22" s="12"/>
    </row>
    <row r="23" spans="2:7" x14ac:dyDescent="0.25">
      <c r="B23" s="10">
        <v>22</v>
      </c>
      <c r="C23" s="12"/>
      <c r="D23" s="12"/>
      <c r="E23" s="12"/>
      <c r="F23" s="12"/>
      <c r="G23" s="12"/>
    </row>
    <row r="24" spans="2:7" x14ac:dyDescent="0.25">
      <c r="B24" s="10">
        <v>23</v>
      </c>
      <c r="C24" s="12"/>
      <c r="D24" s="12"/>
      <c r="E24" s="12"/>
      <c r="F24" s="12"/>
      <c r="G24" s="12"/>
    </row>
    <row r="25" spans="2:7" x14ac:dyDescent="0.25">
      <c r="B25" s="10">
        <v>24</v>
      </c>
      <c r="C25" s="12"/>
      <c r="D25" s="12"/>
      <c r="E25" s="12"/>
      <c r="F25" s="12"/>
      <c r="G25" s="12"/>
    </row>
    <row r="26" spans="2:7" x14ac:dyDescent="0.25">
      <c r="B26" s="10">
        <v>25</v>
      </c>
      <c r="C26" s="12"/>
      <c r="D26" s="12"/>
      <c r="E26" s="12"/>
      <c r="F26" s="12"/>
      <c r="G26" s="12"/>
    </row>
    <row r="27" spans="2:7" x14ac:dyDescent="0.25">
      <c r="B27" s="10">
        <v>26</v>
      </c>
      <c r="C27" s="12"/>
      <c r="D27" s="12"/>
      <c r="E27" s="12"/>
      <c r="F27" s="12"/>
      <c r="G27" s="12"/>
    </row>
    <row r="28" spans="2:7" x14ac:dyDescent="0.25">
      <c r="B28" s="10">
        <v>27</v>
      </c>
      <c r="C28" s="12"/>
      <c r="D28" s="12"/>
      <c r="E28" s="12"/>
      <c r="F28" s="12"/>
      <c r="G28" s="12"/>
    </row>
    <row r="29" spans="2:7" x14ac:dyDescent="0.25">
      <c r="B29" s="10">
        <v>28</v>
      </c>
      <c r="C29" s="12"/>
      <c r="D29" s="12"/>
      <c r="E29" s="12"/>
      <c r="F29" s="12"/>
      <c r="G29" s="12"/>
    </row>
    <row r="30" spans="2:7" x14ac:dyDescent="0.25">
      <c r="B30" s="10">
        <v>29</v>
      </c>
      <c r="C30" s="12"/>
      <c r="D30" s="12"/>
      <c r="E30" s="12"/>
      <c r="F30" s="12"/>
      <c r="G30" s="12"/>
    </row>
    <row r="31" spans="2:7" x14ac:dyDescent="0.25">
      <c r="B31" s="10">
        <v>30</v>
      </c>
      <c r="C31" s="12" t="s">
        <v>47</v>
      </c>
      <c r="D31" s="17"/>
      <c r="E31" s="18"/>
      <c r="F31" s="12"/>
      <c r="G31" s="12"/>
    </row>
    <row r="32" spans="2:7" x14ac:dyDescent="0.25">
      <c r="D32" s="16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INICIO</vt:lpstr>
      <vt:lpstr>CLASSE</vt:lpstr>
      <vt:lpstr>CRIAR TABELA</vt:lpstr>
      <vt:lpstr>ADICIONAR</vt:lpstr>
      <vt:lpstr>EDITAR</vt:lpstr>
      <vt:lpstr>DELETAR</vt:lpstr>
      <vt:lpstr>LISTAR</vt:lpstr>
      <vt:lpstr>AJUSTE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Alves</dc:creator>
  <cp:lastModifiedBy>Felipe Alves</cp:lastModifiedBy>
  <dcterms:created xsi:type="dcterms:W3CDTF">2014-11-09T13:45:14Z</dcterms:created>
  <dcterms:modified xsi:type="dcterms:W3CDTF">2015-05-17T14:34:24Z</dcterms:modified>
</cp:coreProperties>
</file>