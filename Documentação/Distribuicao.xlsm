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480" yWindow="60" windowWidth="15600" windowHeight="8505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PESQUISAR" sheetId="13" r:id="rId8"/>
    <sheet name="AJUSTE" sheetId="5" r:id="rId9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  <definedName name="_xlnm._FilterDatabase" localSheetId="7" hidden="1">PESQUISAR!$K$4:$L$240</definedName>
  </definedNames>
  <calcPr calcId="124519"/>
</workbook>
</file>

<file path=xl/calcChain.xml><?xml version="1.0" encoding="utf-8"?>
<calcChain xmlns="http://schemas.openxmlformats.org/spreadsheetml/2006/main">
  <c r="L240" i="13"/>
  <c r="K240" s="1"/>
  <c r="L239"/>
  <c r="K239" s="1"/>
  <c r="L238"/>
  <c r="K238" s="1"/>
  <c r="L237"/>
  <c r="K237" s="1"/>
  <c r="L235"/>
  <c r="K235" s="1"/>
  <c r="L234"/>
  <c r="K234" s="1"/>
  <c r="L233"/>
  <c r="K233" s="1"/>
  <c r="L231"/>
  <c r="K231" s="1"/>
  <c r="L229"/>
  <c r="K229" s="1"/>
  <c r="L227"/>
  <c r="K227" s="1"/>
  <c r="A226"/>
  <c r="E226" s="1"/>
  <c r="A224"/>
  <c r="E224" s="1"/>
  <c r="A222"/>
  <c r="E222" s="1"/>
  <c r="A220"/>
  <c r="E220" s="1"/>
  <c r="A218"/>
  <c r="E218" s="1"/>
  <c r="A216"/>
  <c r="E216" s="1"/>
  <c r="A214"/>
  <c r="E214" s="1"/>
  <c r="A212"/>
  <c r="E212" s="1"/>
  <c r="A210"/>
  <c r="E210" s="1"/>
  <c r="A208"/>
  <c r="E208" s="1"/>
  <c r="A206"/>
  <c r="E206" s="1"/>
  <c r="A204"/>
  <c r="E204" s="1"/>
  <c r="A202"/>
  <c r="E202" s="1"/>
  <c r="A200"/>
  <c r="E200" s="1"/>
  <c r="A198"/>
  <c r="E198" s="1"/>
  <c r="A196"/>
  <c r="E196" s="1"/>
  <c r="A194"/>
  <c r="E194" s="1"/>
  <c r="A192"/>
  <c r="E192" s="1"/>
  <c r="A190"/>
  <c r="E190" s="1"/>
  <c r="A188"/>
  <c r="E188" s="1"/>
  <c r="A186"/>
  <c r="E186" s="1"/>
  <c r="A184"/>
  <c r="E184" s="1"/>
  <c r="A182"/>
  <c r="E182" s="1"/>
  <c r="A180"/>
  <c r="E180" s="1"/>
  <c r="A178"/>
  <c r="E178" s="1"/>
  <c r="A176"/>
  <c r="E176" s="1"/>
  <c r="A174"/>
  <c r="E174" s="1"/>
  <c r="A172"/>
  <c r="E172" s="1"/>
  <c r="A170"/>
  <c r="E170" s="1"/>
  <c r="A168"/>
  <c r="E168" s="1"/>
  <c r="A166"/>
  <c r="E166" s="1"/>
  <c r="A164"/>
  <c r="E164" s="1"/>
  <c r="A162"/>
  <c r="E162" s="1"/>
  <c r="A160"/>
  <c r="E160" s="1"/>
  <c r="A158"/>
  <c r="E158" s="1"/>
  <c r="A156"/>
  <c r="E156" s="1"/>
  <c r="A154"/>
  <c r="E154" s="1"/>
  <c r="A152"/>
  <c r="E152" s="1"/>
  <c r="A150"/>
  <c r="E150" s="1"/>
  <c r="A148"/>
  <c r="E148" s="1"/>
  <c r="A146"/>
  <c r="E146" s="1"/>
  <c r="A144"/>
  <c r="E144" s="1"/>
  <c r="A142"/>
  <c r="E142" s="1"/>
  <c r="A140"/>
  <c r="E140" s="1"/>
  <c r="A138"/>
  <c r="E138" s="1"/>
  <c r="A136"/>
  <c r="E136" s="1"/>
  <c r="A134"/>
  <c r="E134" s="1"/>
  <c r="A132"/>
  <c r="E132" s="1"/>
  <c r="A130"/>
  <c r="E130" s="1"/>
  <c r="A128"/>
  <c r="E128" s="1"/>
  <c r="A126"/>
  <c r="E126" s="1"/>
  <c r="A124"/>
  <c r="E124" s="1"/>
  <c r="A122"/>
  <c r="E122" s="1"/>
  <c r="A120"/>
  <c r="E120" s="1"/>
  <c r="A118"/>
  <c r="E118" s="1"/>
  <c r="A116"/>
  <c r="E116" s="1"/>
  <c r="A114"/>
  <c r="E114" s="1"/>
  <c r="A112"/>
  <c r="E112" s="1"/>
  <c r="A110"/>
  <c r="E110" s="1"/>
  <c r="A108"/>
  <c r="E108" s="1"/>
  <c r="A106"/>
  <c r="E106" s="1"/>
  <c r="A104"/>
  <c r="E104" s="1"/>
  <c r="A102"/>
  <c r="E102" s="1"/>
  <c r="A100"/>
  <c r="E100" s="1"/>
  <c r="A98"/>
  <c r="E98" s="1"/>
  <c r="A96"/>
  <c r="E96" s="1"/>
  <c r="A94"/>
  <c r="E94" s="1"/>
  <c r="A92"/>
  <c r="E92" s="1"/>
  <c r="A90"/>
  <c r="E90" s="1"/>
  <c r="A88"/>
  <c r="E88" s="1"/>
  <c r="A86"/>
  <c r="E86" s="1"/>
  <c r="A84"/>
  <c r="E84" s="1"/>
  <c r="A82"/>
  <c r="E82" s="1"/>
  <c r="A80"/>
  <c r="E80" s="1"/>
  <c r="A78"/>
  <c r="E78" s="1"/>
  <c r="A76"/>
  <c r="E76" s="1"/>
  <c r="A74"/>
  <c r="E74" s="1"/>
  <c r="A72"/>
  <c r="E72" s="1"/>
  <c r="A70"/>
  <c r="E70" s="1"/>
  <c r="A68"/>
  <c r="E68" s="1"/>
  <c r="A66"/>
  <c r="E66" s="1"/>
  <c r="A64"/>
  <c r="E64" s="1"/>
  <c r="A62"/>
  <c r="E62" s="1"/>
  <c r="A60"/>
  <c r="E60" s="1"/>
  <c r="A58"/>
  <c r="E58" s="1"/>
  <c r="A56"/>
  <c r="E56" s="1"/>
  <c r="A54"/>
  <c r="E54" s="1"/>
  <c r="A52"/>
  <c r="E52" s="1"/>
  <c r="A50"/>
  <c r="E50" s="1"/>
  <c r="A48"/>
  <c r="E48" s="1"/>
  <c r="A46"/>
  <c r="E46" s="1"/>
  <c r="A44"/>
  <c r="E44" s="1"/>
  <c r="A42"/>
  <c r="E42" s="1"/>
  <c r="A40"/>
  <c r="E40" s="1"/>
  <c r="A38"/>
  <c r="E38" s="1"/>
  <c r="A36"/>
  <c r="E36" s="1"/>
  <c r="A34"/>
  <c r="E34" s="1"/>
  <c r="A32"/>
  <c r="E32" s="1"/>
  <c r="A30"/>
  <c r="E30" s="1"/>
  <c r="A28"/>
  <c r="E28" s="1"/>
  <c r="A26"/>
  <c r="E26" s="1"/>
  <c r="H25"/>
  <c r="L24"/>
  <c r="K24" s="1"/>
  <c r="B7"/>
  <c r="L22"/>
  <c r="K22" s="1"/>
  <c r="L21"/>
  <c r="K21" s="1"/>
  <c r="L20"/>
  <c r="K20" s="1"/>
  <c r="C19"/>
  <c r="F18"/>
  <c r="D18"/>
  <c r="B228" s="1"/>
  <c r="C18"/>
  <c r="L17"/>
  <c r="K17" s="1"/>
  <c r="L16"/>
  <c r="K16" s="1"/>
  <c r="L15"/>
  <c r="K15" s="1"/>
  <c r="L14"/>
  <c r="K14" s="1"/>
  <c r="L13"/>
  <c r="K13" s="1"/>
  <c r="L12"/>
  <c r="K12" s="1"/>
  <c r="L11"/>
  <c r="K11" s="1"/>
  <c r="L10"/>
  <c r="K10" s="1"/>
  <c r="L9"/>
  <c r="K9" s="1"/>
  <c r="L8"/>
  <c r="K8" s="1"/>
  <c r="L6"/>
  <c r="K6" s="1"/>
  <c r="C5"/>
  <c r="K130" i="1"/>
  <c r="K131"/>
  <c r="K132"/>
  <c r="K133"/>
  <c r="K5"/>
  <c r="K6"/>
  <c r="H703" i="8"/>
  <c r="H2"/>
  <c r="I6" i="12"/>
  <c r="K18" i="13" l="1"/>
  <c r="C7"/>
  <c r="E7"/>
  <c r="F3" i="9"/>
  <c r="F4"/>
  <c r="F5"/>
  <c r="F6"/>
  <c r="F7"/>
  <c r="F8"/>
  <c r="F111"/>
  <c r="F112"/>
  <c r="F113"/>
  <c r="G2"/>
  <c r="F2" s="1"/>
  <c r="K9" i="1"/>
  <c r="K10"/>
  <c r="K11"/>
  <c r="K13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I108" i="12"/>
  <c r="J109"/>
  <c r="I109" s="1"/>
  <c r="J110"/>
  <c r="I110" s="1"/>
  <c r="J111"/>
  <c r="I111" s="1"/>
  <c r="J112"/>
  <c r="I112" s="1"/>
  <c r="J113"/>
  <c r="I113" s="1"/>
  <c r="J114"/>
  <c r="I114" s="1"/>
  <c r="J115"/>
  <c r="I115" s="1"/>
  <c r="J116"/>
  <c r="I116" s="1"/>
  <c r="J117"/>
  <c r="I117" s="1"/>
  <c r="J118"/>
  <c r="I118" s="1"/>
  <c r="J119"/>
  <c r="I119" s="1"/>
  <c r="J120"/>
  <c r="I120" s="1"/>
  <c r="J121"/>
  <c r="I121" s="1"/>
  <c r="J122"/>
  <c r="I122" s="1"/>
  <c r="J123"/>
  <c r="I123" s="1"/>
  <c r="J3"/>
  <c r="I3" s="1"/>
  <c r="J4"/>
  <c r="I4" s="1"/>
  <c r="J5"/>
  <c r="I5" s="1"/>
  <c r="D2"/>
  <c r="C8" s="1"/>
  <c r="F7" i="1"/>
  <c r="C2" i="12"/>
  <c r="E7" i="1"/>
  <c r="L7" i="13" l="1"/>
  <c r="K7" s="1"/>
  <c r="C230"/>
  <c r="D228"/>
  <c r="J2" i="12"/>
  <c r="I2" s="1"/>
  <c r="F16" i="1"/>
  <c r="L8"/>
  <c r="K8" s="1"/>
  <c r="F15"/>
  <c r="F17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4"/>
  <c r="L7"/>
  <c r="K7" s="1"/>
  <c r="C2" i="10"/>
  <c r="L234"/>
  <c r="K234" s="1"/>
  <c r="L235"/>
  <c r="K235" s="1"/>
  <c r="L236"/>
  <c r="K236" s="1"/>
  <c r="L2"/>
  <c r="K2" s="1"/>
  <c r="L3"/>
  <c r="K3" s="1"/>
  <c r="H6" i="11"/>
  <c r="H3"/>
  <c r="H4"/>
  <c r="H5"/>
  <c r="H10"/>
  <c r="H11"/>
  <c r="H12"/>
  <c r="H13"/>
  <c r="H14"/>
  <c r="H15"/>
  <c r="H16"/>
  <c r="H17"/>
  <c r="H18"/>
  <c r="H19"/>
  <c r="H20"/>
  <c r="H21"/>
  <c r="H22"/>
  <c r="H23"/>
  <c r="H24"/>
  <c r="B8"/>
  <c r="L223" i="10"/>
  <c r="K223" s="1"/>
  <c r="L227"/>
  <c r="K227" s="1"/>
  <c r="L225"/>
  <c r="K225" s="1"/>
  <c r="L20"/>
  <c r="K20" s="1"/>
  <c r="L16"/>
  <c r="K16" s="1"/>
  <c r="L17"/>
  <c r="K17" s="1"/>
  <c r="L18"/>
  <c r="K18" s="1"/>
  <c r="L71" i="1"/>
  <c r="K71" s="1"/>
  <c r="L72"/>
  <c r="K72" s="1"/>
  <c r="L73"/>
  <c r="K73" s="1"/>
  <c r="L74"/>
  <c r="K74" s="1"/>
  <c r="L75"/>
  <c r="K75" s="1"/>
  <c r="L76"/>
  <c r="K76" s="1"/>
  <c r="L77"/>
  <c r="K77" s="1"/>
  <c r="L78"/>
  <c r="K78" s="1"/>
  <c r="L79"/>
  <c r="K79" s="1"/>
  <c r="L80"/>
  <c r="K80" s="1"/>
  <c r="L81"/>
  <c r="K81" s="1"/>
  <c r="L82"/>
  <c r="K82" s="1"/>
  <c r="L83"/>
  <c r="K83" s="1"/>
  <c r="L84"/>
  <c r="K84" s="1"/>
  <c r="L85"/>
  <c r="K85" s="1"/>
  <c r="L86"/>
  <c r="K86" s="1"/>
  <c r="L87"/>
  <c r="K87" s="1"/>
  <c r="L88"/>
  <c r="K88" s="1"/>
  <c r="L89"/>
  <c r="K89" s="1"/>
  <c r="L90"/>
  <c r="K90" s="1"/>
  <c r="L91"/>
  <c r="K91" s="1"/>
  <c r="L92"/>
  <c r="K92" s="1"/>
  <c r="L93"/>
  <c r="K93" s="1"/>
  <c r="L94"/>
  <c r="K94" s="1"/>
  <c r="L95"/>
  <c r="K95" s="1"/>
  <c r="L96"/>
  <c r="K96" s="1"/>
  <c r="L97"/>
  <c r="K97" s="1"/>
  <c r="L98"/>
  <c r="K98" s="1"/>
  <c r="L99"/>
  <c r="K99" s="1"/>
  <c r="L100"/>
  <c r="K100" s="1"/>
  <c r="L101"/>
  <c r="K101" s="1"/>
  <c r="L102"/>
  <c r="K102" s="1"/>
  <c r="L103"/>
  <c r="K103" s="1"/>
  <c r="L104"/>
  <c r="K104" s="1"/>
  <c r="L105"/>
  <c r="K105" s="1"/>
  <c r="L106"/>
  <c r="K106" s="1"/>
  <c r="L107"/>
  <c r="K107" s="1"/>
  <c r="L108"/>
  <c r="K108" s="1"/>
  <c r="L109"/>
  <c r="K109" s="1"/>
  <c r="L110"/>
  <c r="K110" s="1"/>
  <c r="L111"/>
  <c r="K111" s="1"/>
  <c r="L112"/>
  <c r="K112" s="1"/>
  <c r="A174" i="10"/>
  <c r="E174" s="1"/>
  <c r="A176"/>
  <c r="E176" s="1"/>
  <c r="A178"/>
  <c r="E178" s="1"/>
  <c r="A180"/>
  <c r="E180" s="1"/>
  <c r="A182"/>
  <c r="E182" s="1"/>
  <c r="A184"/>
  <c r="E184" s="1"/>
  <c r="A186"/>
  <c r="E186" s="1"/>
  <c r="A188"/>
  <c r="E188" s="1"/>
  <c r="A190"/>
  <c r="E190" s="1"/>
  <c r="A192"/>
  <c r="E192" s="1"/>
  <c r="A194"/>
  <c r="E194" s="1"/>
  <c r="A196"/>
  <c r="E196" s="1"/>
  <c r="A198"/>
  <c r="E198" s="1"/>
  <c r="A200"/>
  <c r="E200" s="1"/>
  <c r="A202"/>
  <c r="E202" s="1"/>
  <c r="A204"/>
  <c r="E204" s="1"/>
  <c r="A206"/>
  <c r="E206" s="1"/>
  <c r="A208"/>
  <c r="E208" s="1"/>
  <c r="A210"/>
  <c r="E210" s="1"/>
  <c r="A212"/>
  <c r="E212" s="1"/>
  <c r="A214"/>
  <c r="E214" s="1"/>
  <c r="A216"/>
  <c r="E216" s="1"/>
  <c r="A218"/>
  <c r="E218" s="1"/>
  <c r="A220"/>
  <c r="E220" s="1"/>
  <c r="A222"/>
  <c r="E222" s="1"/>
  <c r="A118"/>
  <c r="E118" s="1"/>
  <c r="A120"/>
  <c r="E120" s="1"/>
  <c r="A122"/>
  <c r="E122" s="1"/>
  <c r="A124"/>
  <c r="E124" s="1"/>
  <c r="A126"/>
  <c r="E126" s="1"/>
  <c r="A128"/>
  <c r="E128" s="1"/>
  <c r="A130"/>
  <c r="E130" s="1"/>
  <c r="A132"/>
  <c r="E132" s="1"/>
  <c r="A134"/>
  <c r="E134" s="1"/>
  <c r="A136"/>
  <c r="E136" s="1"/>
  <c r="A138"/>
  <c r="E138" s="1"/>
  <c r="A140"/>
  <c r="E140" s="1"/>
  <c r="A142"/>
  <c r="E142" s="1"/>
  <c r="A144"/>
  <c r="E144" s="1"/>
  <c r="A146"/>
  <c r="E146" s="1"/>
  <c r="A148"/>
  <c r="E148" s="1"/>
  <c r="A150"/>
  <c r="E150" s="1"/>
  <c r="A152"/>
  <c r="E152" s="1"/>
  <c r="A154"/>
  <c r="E154" s="1"/>
  <c r="A156"/>
  <c r="E156" s="1"/>
  <c r="A158"/>
  <c r="E158" s="1"/>
  <c r="A160"/>
  <c r="E160" s="1"/>
  <c r="A162"/>
  <c r="E162" s="1"/>
  <c r="A164"/>
  <c r="E164" s="1"/>
  <c r="A166"/>
  <c r="E166" s="1"/>
  <c r="A168"/>
  <c r="E168" s="1"/>
  <c r="A170"/>
  <c r="E170" s="1"/>
  <c r="A172"/>
  <c r="E172" s="1"/>
  <c r="A22"/>
  <c r="E22" s="1"/>
  <c r="A24"/>
  <c r="E24" s="1"/>
  <c r="A26"/>
  <c r="E26" s="1"/>
  <c r="A28"/>
  <c r="E28" s="1"/>
  <c r="A30"/>
  <c r="E30" s="1"/>
  <c r="A32"/>
  <c r="E32" s="1"/>
  <c r="A34"/>
  <c r="E34" s="1"/>
  <c r="A36"/>
  <c r="E36" s="1"/>
  <c r="A38"/>
  <c r="E38" s="1"/>
  <c r="A40"/>
  <c r="E40" s="1"/>
  <c r="A42"/>
  <c r="E42" s="1"/>
  <c r="A44"/>
  <c r="E44" s="1"/>
  <c r="A46"/>
  <c r="E46" s="1"/>
  <c r="A48"/>
  <c r="E48" s="1"/>
  <c r="A50"/>
  <c r="E50" s="1"/>
  <c r="A52"/>
  <c r="E52" s="1"/>
  <c r="A54"/>
  <c r="E54" s="1"/>
  <c r="A56"/>
  <c r="E56" s="1"/>
  <c r="A58"/>
  <c r="E58" s="1"/>
  <c r="A60"/>
  <c r="E60" s="1"/>
  <c r="A62"/>
  <c r="E62" s="1"/>
  <c r="A64"/>
  <c r="E64" s="1"/>
  <c r="A66"/>
  <c r="E66" s="1"/>
  <c r="A68"/>
  <c r="E68" s="1"/>
  <c r="A70"/>
  <c r="E70" s="1"/>
  <c r="A72"/>
  <c r="E72" s="1"/>
  <c r="A74"/>
  <c r="E74" s="1"/>
  <c r="A76"/>
  <c r="E76" s="1"/>
  <c r="A78"/>
  <c r="E78" s="1"/>
  <c r="A80"/>
  <c r="E80" s="1"/>
  <c r="A82"/>
  <c r="E82" s="1"/>
  <c r="A84"/>
  <c r="E84" s="1"/>
  <c r="A86"/>
  <c r="E86" s="1"/>
  <c r="A88"/>
  <c r="E88" s="1"/>
  <c r="A90"/>
  <c r="E90" s="1"/>
  <c r="A92"/>
  <c r="E92" s="1"/>
  <c r="A94"/>
  <c r="E94" s="1"/>
  <c r="A96"/>
  <c r="E96" s="1"/>
  <c r="A98"/>
  <c r="E98" s="1"/>
  <c r="A100"/>
  <c r="E100" s="1"/>
  <c r="A102"/>
  <c r="E102" s="1"/>
  <c r="A104"/>
  <c r="E104" s="1"/>
  <c r="A106"/>
  <c r="E106" s="1"/>
  <c r="A108"/>
  <c r="E108" s="1"/>
  <c r="A110"/>
  <c r="E110" s="1"/>
  <c r="A112"/>
  <c r="E112" s="1"/>
  <c r="A114"/>
  <c r="E114" s="1"/>
  <c r="A116"/>
  <c r="E116" s="1"/>
  <c r="L228"/>
  <c r="K228" s="1"/>
  <c r="L229"/>
  <c r="K229" s="1"/>
  <c r="L230"/>
  <c r="K230" s="1"/>
  <c r="L231"/>
  <c r="K231" s="1"/>
  <c r="L232"/>
  <c r="K232" s="1"/>
  <c r="L233"/>
  <c r="K233" s="1"/>
  <c r="D14"/>
  <c r="B224" s="1"/>
  <c r="C14"/>
  <c r="F14"/>
  <c r="L4"/>
  <c r="K4" s="1"/>
  <c r="L5"/>
  <c r="K5" s="1"/>
  <c r="L6"/>
  <c r="K6" s="1"/>
  <c r="L7"/>
  <c r="K7" s="1"/>
  <c r="L8"/>
  <c r="K8" s="1"/>
  <c r="L9"/>
  <c r="K9" s="1"/>
  <c r="L10"/>
  <c r="K10" s="1"/>
  <c r="L11"/>
  <c r="K11" s="1"/>
  <c r="L12"/>
  <c r="K12" s="1"/>
  <c r="L13"/>
  <c r="K13" s="1"/>
  <c r="B19"/>
  <c r="E19" s="1"/>
  <c r="C15"/>
  <c r="L15" s="1"/>
  <c r="K15" s="1"/>
  <c r="B15" i="8"/>
  <c r="B22"/>
  <c r="B29"/>
  <c r="B36"/>
  <c r="B43"/>
  <c r="B50"/>
  <c r="B57"/>
  <c r="B64"/>
  <c r="B71"/>
  <c r="B78"/>
  <c r="B85"/>
  <c r="B92"/>
  <c r="B99"/>
  <c r="B106"/>
  <c r="B113"/>
  <c r="B120"/>
  <c r="B127"/>
  <c r="B134"/>
  <c r="B141"/>
  <c r="B148"/>
  <c r="B155"/>
  <c r="B162"/>
  <c r="B169"/>
  <c r="B176"/>
  <c r="B183"/>
  <c r="B190"/>
  <c r="B197"/>
  <c r="B204"/>
  <c r="B211"/>
  <c r="B218"/>
  <c r="B225"/>
  <c r="B232"/>
  <c r="B239"/>
  <c r="B246"/>
  <c r="B253"/>
  <c r="B260"/>
  <c r="B267"/>
  <c r="B274"/>
  <c r="B281"/>
  <c r="B288"/>
  <c r="B295"/>
  <c r="B302"/>
  <c r="B309"/>
  <c r="B316"/>
  <c r="B323"/>
  <c r="B330"/>
  <c r="B337"/>
  <c r="B344"/>
  <c r="B351"/>
  <c r="B358"/>
  <c r="B365"/>
  <c r="B372"/>
  <c r="B379"/>
  <c r="B386"/>
  <c r="B393"/>
  <c r="B400"/>
  <c r="B407"/>
  <c r="B414"/>
  <c r="B421"/>
  <c r="B428"/>
  <c r="B435"/>
  <c r="B442"/>
  <c r="B449"/>
  <c r="B456"/>
  <c r="B463"/>
  <c r="B470"/>
  <c r="B477"/>
  <c r="B484"/>
  <c r="B491"/>
  <c r="B498"/>
  <c r="B505"/>
  <c r="B512"/>
  <c r="B519"/>
  <c r="B526"/>
  <c r="B533"/>
  <c r="B540"/>
  <c r="B547"/>
  <c r="B554"/>
  <c r="B561"/>
  <c r="B568"/>
  <c r="B575"/>
  <c r="B582"/>
  <c r="B589"/>
  <c r="B596"/>
  <c r="B603"/>
  <c r="B610"/>
  <c r="B617"/>
  <c r="B624"/>
  <c r="B631"/>
  <c r="B638"/>
  <c r="B645"/>
  <c r="B652"/>
  <c r="B659"/>
  <c r="B666"/>
  <c r="B673"/>
  <c r="B680"/>
  <c r="B687"/>
  <c r="B694"/>
  <c r="B701"/>
  <c r="B8"/>
  <c r="K228" i="13" l="1"/>
  <c r="L232"/>
  <c r="K232" s="1"/>
  <c r="C236"/>
  <c r="L236" s="1"/>
  <c r="K236" s="1"/>
  <c r="L230"/>
  <c r="K230" s="1"/>
  <c r="L14" i="10"/>
  <c r="K14" s="1"/>
  <c r="F18" i="1"/>
  <c r="I605" i="8"/>
  <c r="H605" s="1"/>
  <c r="I591"/>
  <c r="H591" s="1"/>
  <c r="I577"/>
  <c r="H577" s="1"/>
  <c r="I563"/>
  <c r="H563" s="1"/>
  <c r="I549"/>
  <c r="H549" s="1"/>
  <c r="I535"/>
  <c r="H535" s="1"/>
  <c r="I521"/>
  <c r="H521" s="1"/>
  <c r="I507"/>
  <c r="H507" s="1"/>
  <c r="I493"/>
  <c r="H493" s="1"/>
  <c r="I479"/>
  <c r="H479" s="1"/>
  <c r="I465"/>
  <c r="H465" s="1"/>
  <c r="I451"/>
  <c r="H451" s="1"/>
  <c r="I437"/>
  <c r="H437" s="1"/>
  <c r="I423"/>
  <c r="H423" s="1"/>
  <c r="I409"/>
  <c r="H409" s="1"/>
  <c r="I395"/>
  <c r="H395" s="1"/>
  <c r="I381"/>
  <c r="H381" s="1"/>
  <c r="I367"/>
  <c r="H367" s="1"/>
  <c r="I353"/>
  <c r="H353" s="1"/>
  <c r="I339"/>
  <c r="H339" s="1"/>
  <c r="I325"/>
  <c r="H325" s="1"/>
  <c r="I311"/>
  <c r="H311" s="1"/>
  <c r="I297"/>
  <c r="H297" s="1"/>
  <c r="I283"/>
  <c r="H283" s="1"/>
  <c r="I269"/>
  <c r="H269" s="1"/>
  <c r="I255"/>
  <c r="H255" s="1"/>
  <c r="I241"/>
  <c r="H241" s="1"/>
  <c r="I227"/>
  <c r="H227" s="1"/>
  <c r="I213"/>
  <c r="H213" s="1"/>
  <c r="I199"/>
  <c r="H199" s="1"/>
  <c r="I185"/>
  <c r="H185" s="1"/>
  <c r="I171"/>
  <c r="H171" s="1"/>
  <c r="I157"/>
  <c r="H157" s="1"/>
  <c r="I143"/>
  <c r="H143" s="1"/>
  <c r="I129"/>
  <c r="H129" s="1"/>
  <c r="I115"/>
  <c r="H115" s="1"/>
  <c r="I101"/>
  <c r="H101" s="1"/>
  <c r="I87"/>
  <c r="H87" s="1"/>
  <c r="I73"/>
  <c r="H73" s="1"/>
  <c r="I59"/>
  <c r="H59" s="1"/>
  <c r="I45"/>
  <c r="H45" s="1"/>
  <c r="I31"/>
  <c r="H31" s="1"/>
  <c r="I17"/>
  <c r="H17" s="1"/>
  <c r="I3"/>
  <c r="H3" s="1"/>
  <c r="I689"/>
  <c r="H689" s="1"/>
  <c r="I675"/>
  <c r="H675" s="1"/>
  <c r="I661"/>
  <c r="H661" s="1"/>
  <c r="I647"/>
  <c r="H647" s="1"/>
  <c r="I633"/>
  <c r="H633" s="1"/>
  <c r="I619"/>
  <c r="H619" s="1"/>
  <c r="I598"/>
  <c r="H598" s="1"/>
  <c r="I584"/>
  <c r="H584" s="1"/>
  <c r="I570"/>
  <c r="H570" s="1"/>
  <c r="I556"/>
  <c r="H556" s="1"/>
  <c r="I542"/>
  <c r="H542" s="1"/>
  <c r="I528"/>
  <c r="H528" s="1"/>
  <c r="I514"/>
  <c r="H514" s="1"/>
  <c r="I500"/>
  <c r="H500" s="1"/>
  <c r="I486"/>
  <c r="H486" s="1"/>
  <c r="I472"/>
  <c r="H472" s="1"/>
  <c r="I458"/>
  <c r="H458" s="1"/>
  <c r="I444"/>
  <c r="H444" s="1"/>
  <c r="I430"/>
  <c r="H430" s="1"/>
  <c r="I416"/>
  <c r="H416" s="1"/>
  <c r="I402"/>
  <c r="H402" s="1"/>
  <c r="I388"/>
  <c r="H388" s="1"/>
  <c r="I374"/>
  <c r="H374" s="1"/>
  <c r="I360"/>
  <c r="H360" s="1"/>
  <c r="I346"/>
  <c r="H346" s="1"/>
  <c r="I332"/>
  <c r="H332" s="1"/>
  <c r="I318"/>
  <c r="H318" s="1"/>
  <c r="I304"/>
  <c r="H304" s="1"/>
  <c r="I290"/>
  <c r="H290" s="1"/>
  <c r="I276"/>
  <c r="H276" s="1"/>
  <c r="I262"/>
  <c r="H262" s="1"/>
  <c r="I248"/>
  <c r="H248" s="1"/>
  <c r="I234"/>
  <c r="H234" s="1"/>
  <c r="I220"/>
  <c r="H220" s="1"/>
  <c r="I206"/>
  <c r="H206" s="1"/>
  <c r="I192"/>
  <c r="H192" s="1"/>
  <c r="I178"/>
  <c r="H178" s="1"/>
  <c r="I164"/>
  <c r="H164" s="1"/>
  <c r="I150"/>
  <c r="H150" s="1"/>
  <c r="I136"/>
  <c r="H136" s="1"/>
  <c r="I122"/>
  <c r="H122" s="1"/>
  <c r="I108"/>
  <c r="H108" s="1"/>
  <c r="I94"/>
  <c r="H94" s="1"/>
  <c r="I80"/>
  <c r="H80" s="1"/>
  <c r="I66"/>
  <c r="H66" s="1"/>
  <c r="I52"/>
  <c r="H52" s="1"/>
  <c r="I38"/>
  <c r="H38" s="1"/>
  <c r="I24"/>
  <c r="H24" s="1"/>
  <c r="I10"/>
  <c r="H10" s="1"/>
  <c r="I696"/>
  <c r="H696" s="1"/>
  <c r="I682"/>
  <c r="H682" s="1"/>
  <c r="I668"/>
  <c r="H668" s="1"/>
  <c r="I654"/>
  <c r="H654" s="1"/>
  <c r="I640"/>
  <c r="H640" s="1"/>
  <c r="I626"/>
  <c r="H626" s="1"/>
  <c r="I612"/>
  <c r="H612" s="1"/>
  <c r="C226" i="10"/>
  <c r="L226" s="1"/>
  <c r="K226" s="1"/>
  <c r="C19"/>
  <c r="L19" s="1"/>
  <c r="K19" s="1"/>
  <c r="C9" i="9"/>
  <c r="G9" s="1"/>
  <c r="F9" s="1"/>
  <c r="O11" i="7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P106"/>
  <c r="P107"/>
  <c r="P108"/>
  <c r="P109"/>
  <c r="O10"/>
  <c r="P11"/>
  <c r="Q11"/>
  <c r="R11"/>
  <c r="P12"/>
  <c r="Q12"/>
  <c r="R12"/>
  <c r="P13"/>
  <c r="Q13"/>
  <c r="R13"/>
  <c r="P14"/>
  <c r="Q14"/>
  <c r="R14"/>
  <c r="P15"/>
  <c r="Q15"/>
  <c r="R15"/>
  <c r="P16"/>
  <c r="Q16"/>
  <c r="R16"/>
  <c r="P17"/>
  <c r="Q17"/>
  <c r="R17"/>
  <c r="P18"/>
  <c r="Q18"/>
  <c r="R18"/>
  <c r="P19"/>
  <c r="Q19"/>
  <c r="R19"/>
  <c r="P20"/>
  <c r="Q20"/>
  <c r="R20"/>
  <c r="P21"/>
  <c r="Q21"/>
  <c r="R21"/>
  <c r="P22"/>
  <c r="Q22"/>
  <c r="R22"/>
  <c r="P23"/>
  <c r="Q23"/>
  <c r="R23"/>
  <c r="P24"/>
  <c r="Q24"/>
  <c r="R24"/>
  <c r="P25"/>
  <c r="Q25"/>
  <c r="R25"/>
  <c r="P26"/>
  <c r="Q26"/>
  <c r="R26"/>
  <c r="P27"/>
  <c r="Q27"/>
  <c r="R27"/>
  <c r="P28"/>
  <c r="Q28"/>
  <c r="R28"/>
  <c r="P29"/>
  <c r="Q29"/>
  <c r="R29"/>
  <c r="P30"/>
  <c r="Q30"/>
  <c r="R30"/>
  <c r="P31"/>
  <c r="Q31"/>
  <c r="R31"/>
  <c r="P32"/>
  <c r="Q32"/>
  <c r="R32"/>
  <c r="P33"/>
  <c r="Q33"/>
  <c r="R33"/>
  <c r="P34"/>
  <c r="Q34"/>
  <c r="R34"/>
  <c r="P35"/>
  <c r="Q35"/>
  <c r="R35"/>
  <c r="P36"/>
  <c r="Q36"/>
  <c r="R36"/>
  <c r="P37"/>
  <c r="Q37"/>
  <c r="R37"/>
  <c r="P38"/>
  <c r="Q38"/>
  <c r="R38"/>
  <c r="P39"/>
  <c r="Q39"/>
  <c r="R39"/>
  <c r="P40"/>
  <c r="Q40"/>
  <c r="R40"/>
  <c r="P41"/>
  <c r="Q41"/>
  <c r="R41"/>
  <c r="P42"/>
  <c r="Q42"/>
  <c r="R42"/>
  <c r="P43"/>
  <c r="Q43"/>
  <c r="R43"/>
  <c r="P44"/>
  <c r="Q44"/>
  <c r="R44"/>
  <c r="P45"/>
  <c r="Q45"/>
  <c r="R45"/>
  <c r="P46"/>
  <c r="Q46"/>
  <c r="R46"/>
  <c r="P47"/>
  <c r="Q47"/>
  <c r="R47"/>
  <c r="P48"/>
  <c r="Q48"/>
  <c r="R48"/>
  <c r="P49"/>
  <c r="Q49"/>
  <c r="R49"/>
  <c r="P50"/>
  <c r="Q50"/>
  <c r="R50"/>
  <c r="P51"/>
  <c r="Q51"/>
  <c r="R51"/>
  <c r="P52"/>
  <c r="Q52"/>
  <c r="R52"/>
  <c r="P53"/>
  <c r="Q53"/>
  <c r="R53"/>
  <c r="P54"/>
  <c r="Q54"/>
  <c r="R54"/>
  <c r="P55"/>
  <c r="Q55"/>
  <c r="R55"/>
  <c r="P56"/>
  <c r="Q56"/>
  <c r="R56"/>
  <c r="P57"/>
  <c r="Q57"/>
  <c r="R57"/>
  <c r="P58"/>
  <c r="Q58"/>
  <c r="R58"/>
  <c r="P59"/>
  <c r="Q59"/>
  <c r="R59"/>
  <c r="P60"/>
  <c r="Q60"/>
  <c r="R60"/>
  <c r="P61"/>
  <c r="Q61"/>
  <c r="R61"/>
  <c r="P62"/>
  <c r="Q62"/>
  <c r="R62"/>
  <c r="P63"/>
  <c r="Q63"/>
  <c r="R63"/>
  <c r="P64"/>
  <c r="Q64"/>
  <c r="R64"/>
  <c r="P65"/>
  <c r="Q65"/>
  <c r="R65"/>
  <c r="P66"/>
  <c r="Q66"/>
  <c r="R66"/>
  <c r="P67"/>
  <c r="Q67"/>
  <c r="R67"/>
  <c r="P68"/>
  <c r="Q68"/>
  <c r="R68"/>
  <c r="P69"/>
  <c r="Q69"/>
  <c r="R69"/>
  <c r="P70"/>
  <c r="Q70"/>
  <c r="R70"/>
  <c r="P71"/>
  <c r="Q71"/>
  <c r="R71"/>
  <c r="P72"/>
  <c r="Q72"/>
  <c r="R72"/>
  <c r="P73"/>
  <c r="Q73"/>
  <c r="R73"/>
  <c r="P74"/>
  <c r="Q74"/>
  <c r="R74"/>
  <c r="P75"/>
  <c r="Q75"/>
  <c r="R75"/>
  <c r="P76"/>
  <c r="Q76"/>
  <c r="R76"/>
  <c r="P77"/>
  <c r="Q77"/>
  <c r="R77"/>
  <c r="P78"/>
  <c r="Q78"/>
  <c r="R78"/>
  <c r="P79"/>
  <c r="Q79"/>
  <c r="R79"/>
  <c r="P80"/>
  <c r="Q80"/>
  <c r="R80"/>
  <c r="P81"/>
  <c r="Q81"/>
  <c r="R81"/>
  <c r="P82"/>
  <c r="Q82"/>
  <c r="R82"/>
  <c r="P83"/>
  <c r="Q83"/>
  <c r="R83"/>
  <c r="P84"/>
  <c r="Q84"/>
  <c r="R84"/>
  <c r="P85"/>
  <c r="Q85"/>
  <c r="R85"/>
  <c r="P86"/>
  <c r="Q86"/>
  <c r="R86"/>
  <c r="P87"/>
  <c r="Q87"/>
  <c r="R87"/>
  <c r="P88"/>
  <c r="Q88"/>
  <c r="R88"/>
  <c r="P89"/>
  <c r="Q89"/>
  <c r="R89"/>
  <c r="P90"/>
  <c r="Q90"/>
  <c r="R90"/>
  <c r="P91"/>
  <c r="Q91"/>
  <c r="R91"/>
  <c r="P92"/>
  <c r="Q92"/>
  <c r="R92"/>
  <c r="P93"/>
  <c r="Q93"/>
  <c r="R93"/>
  <c r="P94"/>
  <c r="Q94"/>
  <c r="R94"/>
  <c r="P95"/>
  <c r="Q95"/>
  <c r="R95"/>
  <c r="P96"/>
  <c r="Q96"/>
  <c r="R96"/>
  <c r="P97"/>
  <c r="Q97"/>
  <c r="R97"/>
  <c r="P98"/>
  <c r="Q98"/>
  <c r="R98"/>
  <c r="P99"/>
  <c r="Q99"/>
  <c r="R99"/>
  <c r="P100"/>
  <c r="Q100"/>
  <c r="R100"/>
  <c r="P101"/>
  <c r="Q101"/>
  <c r="R101"/>
  <c r="P102"/>
  <c r="Q102"/>
  <c r="R102"/>
  <c r="P103"/>
  <c r="Q103"/>
  <c r="R103"/>
  <c r="P104"/>
  <c r="Q104"/>
  <c r="R104"/>
  <c r="P105"/>
  <c r="Q105"/>
  <c r="R105"/>
  <c r="Q106"/>
  <c r="R106"/>
  <c r="Q107"/>
  <c r="R107"/>
  <c r="Q108"/>
  <c r="R108"/>
  <c r="Q109"/>
  <c r="R109"/>
  <c r="R10"/>
  <c r="Q10"/>
  <c r="P10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J11"/>
  <c r="H27" i="13" s="1"/>
  <c r="J12" i="7"/>
  <c r="J13"/>
  <c r="J14"/>
  <c r="J15"/>
  <c r="J16"/>
  <c r="J17"/>
  <c r="H39" i="13" s="1"/>
  <c r="J18" i="7"/>
  <c r="H41" i="13" s="1"/>
  <c r="L41" s="1"/>
  <c r="K41" s="1"/>
  <c r="J19" i="7"/>
  <c r="H43" i="13" s="1"/>
  <c r="L43" s="1"/>
  <c r="K43" s="1"/>
  <c r="J20" i="7"/>
  <c r="J21"/>
  <c r="H47" i="13" s="1"/>
  <c r="L47" s="1"/>
  <c r="K47" s="1"/>
  <c r="J22" i="7"/>
  <c r="J23"/>
  <c r="H51" i="13" s="1"/>
  <c r="L51" s="1"/>
  <c r="K51" s="1"/>
  <c r="J24" i="7"/>
  <c r="J25"/>
  <c r="H55" i="13" s="1"/>
  <c r="J26" i="7"/>
  <c r="H57" i="13" s="1"/>
  <c r="J27" i="7"/>
  <c r="H59" i="13" s="1"/>
  <c r="J28" i="7"/>
  <c r="J29"/>
  <c r="H63" i="13" s="1"/>
  <c r="J30" i="7"/>
  <c r="J31"/>
  <c r="H67" i="13" s="1"/>
  <c r="J32" i="7"/>
  <c r="J33"/>
  <c r="H71" i="13" s="1"/>
  <c r="J34" i="7"/>
  <c r="J35"/>
  <c r="H75" i="13" s="1"/>
  <c r="J36" i="7"/>
  <c r="J37"/>
  <c r="H79" i="13" s="1"/>
  <c r="J38" i="7"/>
  <c r="J39"/>
  <c r="H83" i="13" s="1"/>
  <c r="J40" i="7"/>
  <c r="J41"/>
  <c r="H87" i="13" s="1"/>
  <c r="J42" i="7"/>
  <c r="J43"/>
  <c r="H91" i="13" s="1"/>
  <c r="J44" i="7"/>
  <c r="J45"/>
  <c r="H95" i="13" s="1"/>
  <c r="J46" i="7"/>
  <c r="J47"/>
  <c r="H99" i="13" s="1"/>
  <c r="J48" i="7"/>
  <c r="J49"/>
  <c r="H103" i="13" s="1"/>
  <c r="J50" i="7"/>
  <c r="J51"/>
  <c r="H107" i="13" s="1"/>
  <c r="J52" i="7"/>
  <c r="J53"/>
  <c r="H111" i="13" s="1"/>
  <c r="J54" i="7"/>
  <c r="J55"/>
  <c r="H115" i="13" s="1"/>
  <c r="J56" i="7"/>
  <c r="J57"/>
  <c r="H119" i="13" s="1"/>
  <c r="J58" i="7"/>
  <c r="J59"/>
  <c r="H123" i="13" s="1"/>
  <c r="J60" i="7"/>
  <c r="J61"/>
  <c r="H127" i="13" s="1"/>
  <c r="J62" i="7"/>
  <c r="J63"/>
  <c r="H131" i="13" s="1"/>
  <c r="J64" i="7"/>
  <c r="J65"/>
  <c r="H135" i="13" s="1"/>
  <c r="J66" i="7"/>
  <c r="J67"/>
  <c r="H139" i="13" s="1"/>
  <c r="J68" i="7"/>
  <c r="J69"/>
  <c r="H143" i="13" s="1"/>
  <c r="J70" i="7"/>
  <c r="J71"/>
  <c r="H147" i="13" s="1"/>
  <c r="J72" i="7"/>
  <c r="J73"/>
  <c r="H151" i="13" s="1"/>
  <c r="J74" i="7"/>
  <c r="J75"/>
  <c r="H155" i="13" s="1"/>
  <c r="J76" i="7"/>
  <c r="J77"/>
  <c r="H159" i="13" s="1"/>
  <c r="J78" i="7"/>
  <c r="J79"/>
  <c r="H163" i="13" s="1"/>
  <c r="J80" i="7"/>
  <c r="J81"/>
  <c r="H167" i="13" s="1"/>
  <c r="J82" i="7"/>
  <c r="J83"/>
  <c r="H171" i="13" s="1"/>
  <c r="J84" i="7"/>
  <c r="J85"/>
  <c r="H175" i="13" s="1"/>
  <c r="J86" i="7"/>
  <c r="J87"/>
  <c r="H179" i="13" s="1"/>
  <c r="J88" i="7"/>
  <c r="J89"/>
  <c r="H183" i="13" s="1"/>
  <c r="J90" i="7"/>
  <c r="J91"/>
  <c r="H187" i="13" s="1"/>
  <c r="J92" i="7"/>
  <c r="J93"/>
  <c r="H191" i="13" s="1"/>
  <c r="J94" i="7"/>
  <c r="J95"/>
  <c r="H195" i="13" s="1"/>
  <c r="J96" i="7"/>
  <c r="J97"/>
  <c r="H199" i="13" s="1"/>
  <c r="J98" i="7"/>
  <c r="J99"/>
  <c r="H203" i="13" s="1"/>
  <c r="J100" i="7"/>
  <c r="J101"/>
  <c r="H207" i="13" s="1"/>
  <c r="J102" i="7"/>
  <c r="J103"/>
  <c r="H211" i="13" s="1"/>
  <c r="J104" i="7"/>
  <c r="J105"/>
  <c r="H215" i="13" s="1"/>
  <c r="J106" i="7"/>
  <c r="J107"/>
  <c r="H219" i="13" s="1"/>
  <c r="J108" i="7"/>
  <c r="J109"/>
  <c r="J10"/>
  <c r="K10"/>
  <c r="K11"/>
  <c r="C27" i="13" s="1"/>
  <c r="K12" i="7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L39" i="13" l="1"/>
  <c r="K39" s="1"/>
  <c r="L27"/>
  <c r="K27" s="1"/>
  <c r="K2"/>
  <c r="D19" s="1"/>
  <c r="L19" s="1"/>
  <c r="K19" s="1"/>
  <c r="C25"/>
  <c r="C99" i="12"/>
  <c r="C207" i="13"/>
  <c r="C87" i="12"/>
  <c r="C183" i="13"/>
  <c r="C75" i="12"/>
  <c r="C159" i="13"/>
  <c r="C59" i="12"/>
  <c r="C127" i="13"/>
  <c r="C39" i="12"/>
  <c r="C87" i="13"/>
  <c r="C27" i="12"/>
  <c r="C63" i="13"/>
  <c r="C19" i="12"/>
  <c r="C47" i="13"/>
  <c r="B104" i="12"/>
  <c r="J104" s="1"/>
  <c r="I104" s="1"/>
  <c r="H217" i="13"/>
  <c r="B92" i="12"/>
  <c r="D92" s="1"/>
  <c r="H193" i="13"/>
  <c r="B76" i="12"/>
  <c r="D76" s="1"/>
  <c r="H161" i="13"/>
  <c r="B68" i="12"/>
  <c r="D68" s="1"/>
  <c r="H145" i="13"/>
  <c r="B56" i="12"/>
  <c r="J56" s="1"/>
  <c r="I56" s="1"/>
  <c r="H121" i="13"/>
  <c r="B48" i="12"/>
  <c r="D48" s="1"/>
  <c r="H105" i="13"/>
  <c r="B40" i="12"/>
  <c r="D40" s="1"/>
  <c r="H89" i="13"/>
  <c r="B36" i="12"/>
  <c r="D36" s="1"/>
  <c r="H81" i="13"/>
  <c r="B32" i="12"/>
  <c r="J32" s="1"/>
  <c r="I32" s="1"/>
  <c r="H73" i="13"/>
  <c r="B28" i="12"/>
  <c r="D28" s="1"/>
  <c r="H65" i="13"/>
  <c r="B12" i="12"/>
  <c r="H33" i="13"/>
  <c r="C92" i="12"/>
  <c r="C193" i="13"/>
  <c r="C80" i="12"/>
  <c r="C169" i="13"/>
  <c r="C64" i="12"/>
  <c r="C137" i="13"/>
  <c r="C52" i="12"/>
  <c r="C113" i="13"/>
  <c r="C36" i="12"/>
  <c r="C81" i="13"/>
  <c r="C20" i="12"/>
  <c r="C49" i="13"/>
  <c r="L219"/>
  <c r="K219" s="1"/>
  <c r="L220"/>
  <c r="K220" s="1"/>
  <c r="L203"/>
  <c r="K203" s="1"/>
  <c r="L204"/>
  <c r="K204" s="1"/>
  <c r="L187"/>
  <c r="K187" s="1"/>
  <c r="L188"/>
  <c r="K188" s="1"/>
  <c r="L179"/>
  <c r="K179" s="1"/>
  <c r="L180"/>
  <c r="K180" s="1"/>
  <c r="L163"/>
  <c r="K163" s="1"/>
  <c r="L164"/>
  <c r="K164" s="1"/>
  <c r="L155"/>
  <c r="K155" s="1"/>
  <c r="L156"/>
  <c r="K156" s="1"/>
  <c r="L147"/>
  <c r="K147" s="1"/>
  <c r="L148"/>
  <c r="K148" s="1"/>
  <c r="L139"/>
  <c r="K139" s="1"/>
  <c r="L140"/>
  <c r="K140" s="1"/>
  <c r="L131"/>
  <c r="K131" s="1"/>
  <c r="L132"/>
  <c r="K132" s="1"/>
  <c r="L123"/>
  <c r="K123" s="1"/>
  <c r="L124"/>
  <c r="K124" s="1"/>
  <c r="L115"/>
  <c r="K115" s="1"/>
  <c r="L116"/>
  <c r="K116" s="1"/>
  <c r="L107"/>
  <c r="K107" s="1"/>
  <c r="L108"/>
  <c r="K108" s="1"/>
  <c r="L99"/>
  <c r="K99" s="1"/>
  <c r="L100"/>
  <c r="K100" s="1"/>
  <c r="L91"/>
  <c r="K91" s="1"/>
  <c r="L92"/>
  <c r="K92" s="1"/>
  <c r="L83"/>
  <c r="K83" s="1"/>
  <c r="L84"/>
  <c r="K84" s="1"/>
  <c r="L75"/>
  <c r="K75" s="1"/>
  <c r="L76"/>
  <c r="K76" s="1"/>
  <c r="L67"/>
  <c r="K67" s="1"/>
  <c r="L68"/>
  <c r="K68" s="1"/>
  <c r="L59"/>
  <c r="K59" s="1"/>
  <c r="L60"/>
  <c r="K60" s="1"/>
  <c r="B13" i="12"/>
  <c r="H35" i="13"/>
  <c r="C107" i="12"/>
  <c r="C225" i="13"/>
  <c r="C223"/>
  <c r="C95" i="12"/>
  <c r="C199" i="13"/>
  <c r="C79" i="12"/>
  <c r="C167" i="13"/>
  <c r="C67" i="12"/>
  <c r="C143" i="13"/>
  <c r="C55" i="12"/>
  <c r="C119" i="13"/>
  <c r="C43" i="12"/>
  <c r="C95" i="13"/>
  <c r="C31" i="12"/>
  <c r="C71" i="13"/>
  <c r="C15" i="12"/>
  <c r="C39" i="13"/>
  <c r="B84" i="12"/>
  <c r="D84" s="1"/>
  <c r="H177" i="13"/>
  <c r="C100" i="12"/>
  <c r="C209" i="13"/>
  <c r="C88" i="12"/>
  <c r="C185" i="13"/>
  <c r="C72" i="12"/>
  <c r="C153" i="13"/>
  <c r="C60" i="12"/>
  <c r="C129" i="13"/>
  <c r="C44" i="12"/>
  <c r="C97" i="13"/>
  <c r="C28" i="12"/>
  <c r="C65" i="13"/>
  <c r="C12" i="12"/>
  <c r="C33" i="13"/>
  <c r="L211"/>
  <c r="K211" s="1"/>
  <c r="L212"/>
  <c r="K212" s="1"/>
  <c r="L195"/>
  <c r="K195" s="1"/>
  <c r="L196"/>
  <c r="K196" s="1"/>
  <c r="L171"/>
  <c r="K171" s="1"/>
  <c r="L172"/>
  <c r="K172" s="1"/>
  <c r="C105" i="12"/>
  <c r="C219" i="13"/>
  <c r="C101" i="12"/>
  <c r="C211" i="13"/>
  <c r="C97" i="12"/>
  <c r="C203" i="13"/>
  <c r="C93" i="12"/>
  <c r="C195" i="13"/>
  <c r="C89" i="12"/>
  <c r="C187" i="13"/>
  <c r="C85" i="12"/>
  <c r="C179" i="13"/>
  <c r="C81" i="12"/>
  <c r="C171" i="13"/>
  <c r="C77" i="12"/>
  <c r="C163" i="13"/>
  <c r="C73" i="12"/>
  <c r="C155" i="13"/>
  <c r="C69" i="12"/>
  <c r="C147" i="13"/>
  <c r="C65" i="12"/>
  <c r="C139" i="13"/>
  <c r="C61" i="12"/>
  <c r="C131" i="13"/>
  <c r="C57" i="12"/>
  <c r="C123" i="13"/>
  <c r="C53" i="12"/>
  <c r="C115" i="13"/>
  <c r="C49" i="12"/>
  <c r="C107" i="13"/>
  <c r="C45" i="12"/>
  <c r="C99" i="13"/>
  <c r="C41" i="12"/>
  <c r="C91" i="13"/>
  <c r="C37" i="12"/>
  <c r="C83" i="13"/>
  <c r="C33" i="12"/>
  <c r="C75" i="13"/>
  <c r="C29" i="12"/>
  <c r="C67" i="13"/>
  <c r="C25" i="12"/>
  <c r="C59" i="13"/>
  <c r="C21" i="12"/>
  <c r="C51" i="13"/>
  <c r="C17" i="12"/>
  <c r="C43" i="13"/>
  <c r="C13" i="12"/>
  <c r="C35" i="13"/>
  <c r="G28"/>
  <c r="C28" s="1"/>
  <c r="B28"/>
  <c r="B106" i="12"/>
  <c r="J106" s="1"/>
  <c r="I106" s="1"/>
  <c r="H221" i="13"/>
  <c r="B102" i="12"/>
  <c r="D102" s="1"/>
  <c r="H213" i="13"/>
  <c r="B98" i="12"/>
  <c r="D98" s="1"/>
  <c r="H205" i="13"/>
  <c r="B94" i="12"/>
  <c r="D94" s="1"/>
  <c r="H197" i="13"/>
  <c r="B90" i="12"/>
  <c r="J90" s="1"/>
  <c r="I90" s="1"/>
  <c r="H189" i="13"/>
  <c r="B86" i="12"/>
  <c r="D86" s="1"/>
  <c r="H181" i="13"/>
  <c r="B82" i="12"/>
  <c r="J82" s="1"/>
  <c r="I82" s="1"/>
  <c r="H173" i="13"/>
  <c r="B78" i="12"/>
  <c r="D78" s="1"/>
  <c r="H165" i="13"/>
  <c r="B74" i="12"/>
  <c r="J74" s="1"/>
  <c r="I74" s="1"/>
  <c r="H157" i="13"/>
  <c r="B70" i="12"/>
  <c r="J70" s="1"/>
  <c r="I70" s="1"/>
  <c r="H149" i="13"/>
  <c r="B66" i="12"/>
  <c r="D66" s="1"/>
  <c r="H141" i="13"/>
  <c r="B62" i="12"/>
  <c r="J62" s="1"/>
  <c r="I62" s="1"/>
  <c r="H133" i="13"/>
  <c r="B58" i="12"/>
  <c r="D58" s="1"/>
  <c r="H125" i="13"/>
  <c r="B54" i="12"/>
  <c r="D54" s="1"/>
  <c r="H117" i="13"/>
  <c r="B50" i="12"/>
  <c r="D50" s="1"/>
  <c r="H109" i="13"/>
  <c r="B46" i="12"/>
  <c r="D46" s="1"/>
  <c r="H101" i="13"/>
  <c r="B42" i="12"/>
  <c r="J42" s="1"/>
  <c r="I42" s="1"/>
  <c r="H93" i="13"/>
  <c r="B38" i="12"/>
  <c r="D38" s="1"/>
  <c r="H85" i="13"/>
  <c r="B34" i="12"/>
  <c r="D34" s="1"/>
  <c r="H77" i="13"/>
  <c r="B30" i="12"/>
  <c r="D30" s="1"/>
  <c r="H69" i="13"/>
  <c r="B26" i="12"/>
  <c r="J26" s="1"/>
  <c r="I26" s="1"/>
  <c r="H61" i="13"/>
  <c r="B22" i="12"/>
  <c r="D22" s="1"/>
  <c r="H53" i="13"/>
  <c r="L53" s="1"/>
  <c r="K53" s="1"/>
  <c r="B18" i="12"/>
  <c r="D18" s="1"/>
  <c r="H45" i="13"/>
  <c r="L45" s="1"/>
  <c r="K45" s="1"/>
  <c r="B14" i="12"/>
  <c r="J14" s="1"/>
  <c r="I14" s="1"/>
  <c r="H37" i="13"/>
  <c r="B10" i="12"/>
  <c r="H29" i="13"/>
  <c r="C103" i="12"/>
  <c r="C215" i="13"/>
  <c r="C91" i="12"/>
  <c r="C191" i="13"/>
  <c r="C83" i="12"/>
  <c r="C175" i="13"/>
  <c r="C71" i="12"/>
  <c r="C151" i="13"/>
  <c r="C63" i="12"/>
  <c r="C135" i="13"/>
  <c r="C51" i="12"/>
  <c r="C111" i="13"/>
  <c r="C47" i="12"/>
  <c r="C103" i="13"/>
  <c r="C35" i="12"/>
  <c r="C79" i="13"/>
  <c r="C23" i="12"/>
  <c r="C55" i="13"/>
  <c r="C11" i="12"/>
  <c r="C31" i="13"/>
  <c r="B100" i="12"/>
  <c r="J100" s="1"/>
  <c r="I100" s="1"/>
  <c r="H209" i="13"/>
  <c r="B96" i="12"/>
  <c r="J96" s="1"/>
  <c r="I96" s="1"/>
  <c r="H201" i="13"/>
  <c r="B88" i="12"/>
  <c r="J88" s="1"/>
  <c r="I88" s="1"/>
  <c r="H185" i="13"/>
  <c r="B80" i="12"/>
  <c r="D80" s="1"/>
  <c r="H169" i="13"/>
  <c r="B72" i="12"/>
  <c r="D72" s="1"/>
  <c r="H153" i="13"/>
  <c r="B64" i="12"/>
  <c r="J64" s="1"/>
  <c r="I64" s="1"/>
  <c r="H137" i="13"/>
  <c r="B60" i="12"/>
  <c r="D60" s="1"/>
  <c r="H129" i="13"/>
  <c r="B52" i="12"/>
  <c r="J52" s="1"/>
  <c r="I52" s="1"/>
  <c r="H113" i="13"/>
  <c r="B44" i="12"/>
  <c r="J44" s="1"/>
  <c r="I44" s="1"/>
  <c r="H97" i="13"/>
  <c r="L58"/>
  <c r="K58" s="1"/>
  <c r="L57"/>
  <c r="K57" s="1"/>
  <c r="B20" i="12"/>
  <c r="J20" s="1"/>
  <c r="I20" s="1"/>
  <c r="H49" i="13"/>
  <c r="L49" s="1"/>
  <c r="K49" s="1"/>
  <c r="C104" i="12"/>
  <c r="C217" i="13"/>
  <c r="C96" i="12"/>
  <c r="C201" i="13"/>
  <c r="C84" i="12"/>
  <c r="C177" i="13"/>
  <c r="C76" i="12"/>
  <c r="C161" i="13"/>
  <c r="C68" i="12"/>
  <c r="C145" i="13"/>
  <c r="C56" i="12"/>
  <c r="C121" i="13"/>
  <c r="C48" i="12"/>
  <c r="C105" i="13"/>
  <c r="C40" i="12"/>
  <c r="C89" i="13"/>
  <c r="C32" i="12"/>
  <c r="C73" i="13"/>
  <c r="C24" i="12"/>
  <c r="C57" i="13"/>
  <c r="C16" i="12"/>
  <c r="C41" i="13"/>
  <c r="C106" i="12"/>
  <c r="C221" i="13"/>
  <c r="C102" i="12"/>
  <c r="C213" i="13"/>
  <c r="C98" i="12"/>
  <c r="C205" i="13"/>
  <c r="C94" i="12"/>
  <c r="C197" i="13"/>
  <c r="C90" i="12"/>
  <c r="C189" i="13"/>
  <c r="C86" i="12"/>
  <c r="C181" i="13"/>
  <c r="C82" i="12"/>
  <c r="C173" i="13"/>
  <c r="C78" i="12"/>
  <c r="C165" i="13"/>
  <c r="C74" i="12"/>
  <c r="C157" i="13"/>
  <c r="C70" i="12"/>
  <c r="C149" i="13"/>
  <c r="C66" i="12"/>
  <c r="C141" i="13"/>
  <c r="C62" i="12"/>
  <c r="C133" i="13"/>
  <c r="C58" i="12"/>
  <c r="C125" i="13"/>
  <c r="C54" i="12"/>
  <c r="C117" i="13"/>
  <c r="C50" i="12"/>
  <c r="C109" i="13"/>
  <c r="C46" i="12"/>
  <c r="C101" i="13"/>
  <c r="C42" i="12"/>
  <c r="C93" i="13"/>
  <c r="C38" i="12"/>
  <c r="C85" i="13"/>
  <c r="C34" i="12"/>
  <c r="C77" i="13"/>
  <c r="C30" i="12"/>
  <c r="C69" i="13"/>
  <c r="C26" i="12"/>
  <c r="C61" i="13"/>
  <c r="C22" i="12"/>
  <c r="C53" i="13"/>
  <c r="C18" i="12"/>
  <c r="C45" i="13"/>
  <c r="C14" i="12"/>
  <c r="C37" i="13"/>
  <c r="C10" i="12"/>
  <c r="C29" i="13"/>
  <c r="H225"/>
  <c r="H223"/>
  <c r="L216"/>
  <c r="K216" s="1"/>
  <c r="L215"/>
  <c r="K215" s="1"/>
  <c r="L208"/>
  <c r="K208" s="1"/>
  <c r="L207"/>
  <c r="K207" s="1"/>
  <c r="L200"/>
  <c r="K200" s="1"/>
  <c r="L199"/>
  <c r="K199" s="1"/>
  <c r="L192"/>
  <c r="K192" s="1"/>
  <c r="L191"/>
  <c r="K191" s="1"/>
  <c r="L184"/>
  <c r="K184" s="1"/>
  <c r="L183"/>
  <c r="K183" s="1"/>
  <c r="L176"/>
  <c r="K176" s="1"/>
  <c r="L175"/>
  <c r="K175" s="1"/>
  <c r="L168"/>
  <c r="K168" s="1"/>
  <c r="L167"/>
  <c r="K167" s="1"/>
  <c r="L160"/>
  <c r="K160" s="1"/>
  <c r="L159"/>
  <c r="K159" s="1"/>
  <c r="L152"/>
  <c r="K152" s="1"/>
  <c r="L151"/>
  <c r="K151" s="1"/>
  <c r="L144"/>
  <c r="K144" s="1"/>
  <c r="L143"/>
  <c r="K143" s="1"/>
  <c r="L136"/>
  <c r="K136" s="1"/>
  <c r="L135"/>
  <c r="K135" s="1"/>
  <c r="L128"/>
  <c r="K128" s="1"/>
  <c r="L127"/>
  <c r="K127" s="1"/>
  <c r="L120"/>
  <c r="K120" s="1"/>
  <c r="L119"/>
  <c r="K119" s="1"/>
  <c r="L112"/>
  <c r="K112" s="1"/>
  <c r="L111"/>
  <c r="K111" s="1"/>
  <c r="L104"/>
  <c r="K104" s="1"/>
  <c r="L103"/>
  <c r="K103" s="1"/>
  <c r="L96"/>
  <c r="K96" s="1"/>
  <c r="L95"/>
  <c r="K95" s="1"/>
  <c r="L88"/>
  <c r="K88" s="1"/>
  <c r="L87"/>
  <c r="K87" s="1"/>
  <c r="L80"/>
  <c r="K80" s="1"/>
  <c r="L79"/>
  <c r="K79" s="1"/>
  <c r="L72"/>
  <c r="K72" s="1"/>
  <c r="L71"/>
  <c r="K71" s="1"/>
  <c r="L64"/>
  <c r="K64" s="1"/>
  <c r="L63"/>
  <c r="K63" s="1"/>
  <c r="L56"/>
  <c r="K56" s="1"/>
  <c r="L55"/>
  <c r="K55" s="1"/>
  <c r="B11" i="12"/>
  <c r="D11" s="1"/>
  <c r="H31" i="13"/>
  <c r="L31" s="1"/>
  <c r="K31" s="1"/>
  <c r="J12" i="12"/>
  <c r="I12" s="1"/>
  <c r="G109" i="9"/>
  <c r="F109" s="1"/>
  <c r="B107" i="12"/>
  <c r="G107" i="9"/>
  <c r="F107" s="1"/>
  <c r="B105" i="12"/>
  <c r="G105" i="9"/>
  <c r="F105" s="1"/>
  <c r="B103" i="12"/>
  <c r="G103" i="9"/>
  <c r="F103" s="1"/>
  <c r="B101" i="12"/>
  <c r="G101" i="9"/>
  <c r="F101" s="1"/>
  <c r="B99" i="12"/>
  <c r="G99" i="9"/>
  <c r="F99" s="1"/>
  <c r="B97" i="12"/>
  <c r="G97" i="9"/>
  <c r="F97" s="1"/>
  <c r="B95" i="12"/>
  <c r="G95" i="9"/>
  <c r="F95" s="1"/>
  <c r="B93" i="12"/>
  <c r="G93" i="9"/>
  <c r="F93" s="1"/>
  <c r="B91" i="12"/>
  <c r="G91" i="9"/>
  <c r="F91" s="1"/>
  <c r="B89" i="12"/>
  <c r="G89" i="9"/>
  <c r="F89" s="1"/>
  <c r="B87" i="12"/>
  <c r="G87" i="9"/>
  <c r="F87" s="1"/>
  <c r="B85" i="12"/>
  <c r="G85" i="9"/>
  <c r="F85" s="1"/>
  <c r="B83" i="12"/>
  <c r="G83" i="9"/>
  <c r="F83" s="1"/>
  <c r="B81" i="12"/>
  <c r="G81" i="9"/>
  <c r="F81" s="1"/>
  <c r="B79" i="12"/>
  <c r="G79" i="9"/>
  <c r="F79" s="1"/>
  <c r="B77" i="12"/>
  <c r="G77" i="9"/>
  <c r="F77" s="1"/>
  <c r="B75" i="12"/>
  <c r="G75" i="9"/>
  <c r="F75" s="1"/>
  <c r="B73" i="12"/>
  <c r="G73" i="9"/>
  <c r="F73" s="1"/>
  <c r="B71" i="12"/>
  <c r="G71" i="9"/>
  <c r="F71" s="1"/>
  <c r="B69" i="12"/>
  <c r="G69" i="9"/>
  <c r="F69" s="1"/>
  <c r="B67" i="12"/>
  <c r="G67" i="9"/>
  <c r="F67" s="1"/>
  <c r="B65" i="12"/>
  <c r="G65" i="9"/>
  <c r="F65" s="1"/>
  <c r="B63" i="12"/>
  <c r="G63" i="9"/>
  <c r="F63" s="1"/>
  <c r="B61" i="12"/>
  <c r="G61" i="9"/>
  <c r="F61" s="1"/>
  <c r="B59" i="12"/>
  <c r="G59" i="9"/>
  <c r="F59" s="1"/>
  <c r="B57" i="12"/>
  <c r="G57" i="9"/>
  <c r="F57" s="1"/>
  <c r="B55" i="12"/>
  <c r="G55" i="9"/>
  <c r="F55" s="1"/>
  <c r="B53" i="12"/>
  <c r="G53" i="9"/>
  <c r="F53" s="1"/>
  <c r="B51" i="12"/>
  <c r="G51" i="9"/>
  <c r="F51" s="1"/>
  <c r="B49" i="12"/>
  <c r="G49" i="9"/>
  <c r="F49" s="1"/>
  <c r="B47" i="12"/>
  <c r="G47" i="9"/>
  <c r="F47" s="1"/>
  <c r="B45" i="12"/>
  <c r="G45" i="9"/>
  <c r="F45" s="1"/>
  <c r="B43" i="12"/>
  <c r="G43" i="9"/>
  <c r="F43" s="1"/>
  <c r="B41" i="12"/>
  <c r="B39"/>
  <c r="B37"/>
  <c r="B35"/>
  <c r="B33"/>
  <c r="B31"/>
  <c r="B29"/>
  <c r="B27"/>
  <c r="B25"/>
  <c r="B23"/>
  <c r="B21"/>
  <c r="B19"/>
  <c r="B17"/>
  <c r="B15"/>
  <c r="J11"/>
  <c r="I11" s="1"/>
  <c r="D56"/>
  <c r="B24"/>
  <c r="B16"/>
  <c r="H21" i="10"/>
  <c r="B7" i="8"/>
  <c r="M10" i="7"/>
  <c r="S10" s="1"/>
  <c r="C10" i="9" s="1"/>
  <c r="G10" s="1"/>
  <c r="F10" s="1"/>
  <c r="L10" i="7"/>
  <c r="C7" i="12"/>
  <c r="D8" i="11"/>
  <c r="C21" i="10"/>
  <c r="B22" s="1"/>
  <c r="B5" i="8"/>
  <c r="E5" s="1"/>
  <c r="E4" s="1"/>
  <c r="C110" i="9"/>
  <c r="L108" i="7"/>
  <c r="B692" i="8" s="1"/>
  <c r="D690" s="1"/>
  <c r="G108" i="9"/>
  <c r="F108" s="1"/>
  <c r="M106" i="7"/>
  <c r="G106" i="9"/>
  <c r="F106" s="1"/>
  <c r="L104" i="7"/>
  <c r="B664" i="8" s="1"/>
  <c r="D662" s="1"/>
  <c r="G104" i="9"/>
  <c r="F104" s="1"/>
  <c r="M102" i="7"/>
  <c r="G102" i="9"/>
  <c r="F102" s="1"/>
  <c r="L100" i="7"/>
  <c r="B636" i="8" s="1"/>
  <c r="D634" s="1"/>
  <c r="G100" i="9"/>
  <c r="F100" s="1"/>
  <c r="L98" i="7"/>
  <c r="G98" i="9"/>
  <c r="F98" s="1"/>
  <c r="M96" i="7"/>
  <c r="G96" i="9"/>
  <c r="F96" s="1"/>
  <c r="L94" i="7"/>
  <c r="G94" i="9"/>
  <c r="F94" s="1"/>
  <c r="L92" i="7"/>
  <c r="B580" i="8" s="1"/>
  <c r="D578" s="1"/>
  <c r="G92" i="9"/>
  <c r="F92" s="1"/>
  <c r="L90" i="7"/>
  <c r="G90" i="9"/>
  <c r="F90" s="1"/>
  <c r="M88" i="7"/>
  <c r="G88" i="9"/>
  <c r="F88" s="1"/>
  <c r="L86" i="7"/>
  <c r="B538" i="8" s="1"/>
  <c r="D536" s="1"/>
  <c r="G86" i="9"/>
  <c r="F86" s="1"/>
  <c r="L84" i="7"/>
  <c r="B524" i="8" s="1"/>
  <c r="D522" s="1"/>
  <c r="G84" i="9"/>
  <c r="F84" s="1"/>
  <c r="L82" i="7"/>
  <c r="G82" i="9"/>
  <c r="F82" s="1"/>
  <c r="M80" i="7"/>
  <c r="G80" i="9"/>
  <c r="F80" s="1"/>
  <c r="L78" i="7"/>
  <c r="B482" i="8" s="1"/>
  <c r="D480" s="1"/>
  <c r="G78" i="9"/>
  <c r="F78" s="1"/>
  <c r="L76" i="7"/>
  <c r="B468" i="8" s="1"/>
  <c r="D466" s="1"/>
  <c r="G76" i="9"/>
  <c r="F76" s="1"/>
  <c r="L74" i="7"/>
  <c r="G74" i="9"/>
  <c r="F74" s="1"/>
  <c r="M72" i="7"/>
  <c r="G72" i="9"/>
  <c r="F72" s="1"/>
  <c r="L70" i="7"/>
  <c r="G70" i="9"/>
  <c r="F70" s="1"/>
  <c r="L68" i="7"/>
  <c r="B412" i="8" s="1"/>
  <c r="D411" s="1"/>
  <c r="G68" i="9"/>
  <c r="F68" s="1"/>
  <c r="L66" i="7"/>
  <c r="G66" i="9"/>
  <c r="F66" s="1"/>
  <c r="M64" i="7"/>
  <c r="G64" i="9"/>
  <c r="F64" s="1"/>
  <c r="L62" i="7"/>
  <c r="G62" i="9"/>
  <c r="F62" s="1"/>
  <c r="L60" i="7"/>
  <c r="G60" i="9"/>
  <c r="F60" s="1"/>
  <c r="L58" i="7"/>
  <c r="G58" i="9"/>
  <c r="F58" s="1"/>
  <c r="M56" i="7"/>
  <c r="G56" i="9"/>
  <c r="F56" s="1"/>
  <c r="L54" i="7"/>
  <c r="B314" i="8" s="1"/>
  <c r="D313" s="1"/>
  <c r="G54" i="9"/>
  <c r="F54" s="1"/>
  <c r="L52" i="7"/>
  <c r="B300" i="8" s="1"/>
  <c r="D298" s="1"/>
  <c r="G52" i="9"/>
  <c r="F52" s="1"/>
  <c r="L50" i="7"/>
  <c r="B286" i="8" s="1"/>
  <c r="D285" s="1"/>
  <c r="G50" i="9"/>
  <c r="F50" s="1"/>
  <c r="M48" i="7"/>
  <c r="G48" i="9"/>
  <c r="F48" s="1"/>
  <c r="L46" i="7"/>
  <c r="B258" i="8" s="1"/>
  <c r="D257" s="1"/>
  <c r="G46" i="9"/>
  <c r="F46" s="1"/>
  <c r="L44" i="7"/>
  <c r="B244" i="8" s="1"/>
  <c r="D243" s="1"/>
  <c r="G44" i="9"/>
  <c r="F44" s="1"/>
  <c r="L42" i="7"/>
  <c r="B230" i="8" s="1"/>
  <c r="D228" s="1"/>
  <c r="G42" i="9"/>
  <c r="F42" s="1"/>
  <c r="M40" i="7"/>
  <c r="L24"/>
  <c r="B104" i="8" s="1"/>
  <c r="D102" s="1"/>
  <c r="M22" i="7"/>
  <c r="M20"/>
  <c r="S20" s="1"/>
  <c r="C20" i="9" s="1"/>
  <c r="G20" s="1"/>
  <c r="F20" s="1"/>
  <c r="L106" i="7"/>
  <c r="B678" i="8" s="1"/>
  <c r="D676" s="1"/>
  <c r="L102" i="7"/>
  <c r="B650" i="8" s="1"/>
  <c r="D648" s="1"/>
  <c r="M108" i="7"/>
  <c r="M104"/>
  <c r="M100"/>
  <c r="M92"/>
  <c r="M84"/>
  <c r="M76"/>
  <c r="M68"/>
  <c r="M60"/>
  <c r="M52"/>
  <c r="M44"/>
  <c r="L96"/>
  <c r="B608" i="8" s="1"/>
  <c r="D606" s="1"/>
  <c r="L88" i="7"/>
  <c r="L80"/>
  <c r="L72"/>
  <c r="B440" i="8" s="1"/>
  <c r="D439" s="1"/>
  <c r="L64" i="7"/>
  <c r="B384" i="8" s="1"/>
  <c r="D382" s="1"/>
  <c r="L56" i="7"/>
  <c r="L48"/>
  <c r="B272" i="8" s="1"/>
  <c r="D271" s="1"/>
  <c r="L40" i="7"/>
  <c r="B216" i="8" s="1"/>
  <c r="D215" s="1"/>
  <c r="E109" i="1"/>
  <c r="G109" s="1"/>
  <c r="C213" i="10"/>
  <c r="G214" s="1"/>
  <c r="C214" s="1"/>
  <c r="B677" i="8"/>
  <c r="E677" s="1"/>
  <c r="E676" s="1"/>
  <c r="E105" i="1"/>
  <c r="G105" s="1"/>
  <c r="C205" i="10"/>
  <c r="G206" s="1"/>
  <c r="C206" s="1"/>
  <c r="B649" i="8"/>
  <c r="E649" s="1"/>
  <c r="E648" s="1"/>
  <c r="E101" i="1"/>
  <c r="A101" s="1"/>
  <c r="C197" i="10"/>
  <c r="G198" s="1"/>
  <c r="C198" s="1"/>
  <c r="B621" i="8"/>
  <c r="E621" s="1"/>
  <c r="E620" s="1"/>
  <c r="E97" i="1"/>
  <c r="G97" s="1"/>
  <c r="C189" i="10"/>
  <c r="G190" s="1"/>
  <c r="C190" s="1"/>
  <c r="B593" i="8"/>
  <c r="E593" s="1"/>
  <c r="E592" s="1"/>
  <c r="E93" i="1"/>
  <c r="A93" s="1"/>
  <c r="C181" i="10"/>
  <c r="G182" s="1"/>
  <c r="C182" s="1"/>
  <c r="B565" i="8"/>
  <c r="E565" s="1"/>
  <c r="E564" s="1"/>
  <c r="E89" i="1"/>
  <c r="G89" s="1"/>
  <c r="C173" i="10"/>
  <c r="G174" s="1"/>
  <c r="C174" s="1"/>
  <c r="B537" i="8"/>
  <c r="E537" s="1"/>
  <c r="E536" s="1"/>
  <c r="E85" i="1"/>
  <c r="A85" s="1"/>
  <c r="C165" i="10"/>
  <c r="G166" s="1"/>
  <c r="C166" s="1"/>
  <c r="B509" i="8"/>
  <c r="E509" s="1"/>
  <c r="E508" s="1"/>
  <c r="E79" i="1"/>
  <c r="G79" s="1"/>
  <c r="C153" i="10"/>
  <c r="G154" s="1"/>
  <c r="C154" s="1"/>
  <c r="B467" i="8"/>
  <c r="E467" s="1"/>
  <c r="E466" s="1"/>
  <c r="E75" i="1"/>
  <c r="G75" s="1"/>
  <c r="C145" i="10"/>
  <c r="G146" s="1"/>
  <c r="C146" s="1"/>
  <c r="B439" i="8"/>
  <c r="E439" s="1"/>
  <c r="E438" s="1"/>
  <c r="E71" i="1"/>
  <c r="G71" s="1"/>
  <c r="C137" i="10"/>
  <c r="G138" s="1"/>
  <c r="C138" s="1"/>
  <c r="B411" i="8"/>
  <c r="E411" s="1"/>
  <c r="E410" s="1"/>
  <c r="E67" i="1"/>
  <c r="A67" s="1"/>
  <c r="C129" i="10"/>
  <c r="G130" s="1"/>
  <c r="C130" s="1"/>
  <c r="B383" i="8"/>
  <c r="E383" s="1"/>
  <c r="E382" s="1"/>
  <c r="E63" i="1"/>
  <c r="A63" s="1"/>
  <c r="C121" i="10"/>
  <c r="G122" s="1"/>
  <c r="C122" s="1"/>
  <c r="B355" i="8"/>
  <c r="E355" s="1"/>
  <c r="E354" s="1"/>
  <c r="E59" i="1"/>
  <c r="A59" s="1"/>
  <c r="C113" i="10"/>
  <c r="G114" s="1"/>
  <c r="C114" s="1"/>
  <c r="B327" i="8"/>
  <c r="E327" s="1"/>
  <c r="E326" s="1"/>
  <c r="E55" i="1"/>
  <c r="B55" s="1"/>
  <c r="C105" i="10"/>
  <c r="G106" s="1"/>
  <c r="C106" s="1"/>
  <c r="B299" i="8"/>
  <c r="E299" s="1"/>
  <c r="E298" s="1"/>
  <c r="E51" i="1"/>
  <c r="A51" s="1"/>
  <c r="C97" i="10"/>
  <c r="G98" s="1"/>
  <c r="C98" s="1"/>
  <c r="B271" i="8"/>
  <c r="E271" s="1"/>
  <c r="E270" s="1"/>
  <c r="E47" i="1"/>
  <c r="B47" s="1"/>
  <c r="C89" i="10"/>
  <c r="G90" s="1"/>
  <c r="C90" s="1"/>
  <c r="B243" i="8"/>
  <c r="E243" s="1"/>
  <c r="E242" s="1"/>
  <c r="E41" i="1"/>
  <c r="G41" s="1"/>
  <c r="E37"/>
  <c r="A37" s="1"/>
  <c r="E33"/>
  <c r="B33" s="1"/>
  <c r="E29"/>
  <c r="B29" s="1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/>
  <c r="C95" i="9" s="1"/>
  <c r="H191" i="10"/>
  <c r="B602" i="8"/>
  <c r="M95" i="7"/>
  <c r="S91"/>
  <c r="C91" i="9" s="1"/>
  <c r="H183" i="10"/>
  <c r="B574" i="8"/>
  <c r="M91" i="7"/>
  <c r="S87"/>
  <c r="C87" i="9" s="1"/>
  <c r="H175" i="10"/>
  <c r="B546" i="8"/>
  <c r="M87" i="7"/>
  <c r="S83"/>
  <c r="C83" i="9" s="1"/>
  <c r="H167" i="10"/>
  <c r="B518" i="8"/>
  <c r="M83" i="7"/>
  <c r="S79"/>
  <c r="C79" i="9" s="1"/>
  <c r="H159" i="10"/>
  <c r="B490" i="8"/>
  <c r="M79" i="7"/>
  <c r="S75"/>
  <c r="C75" i="9" s="1"/>
  <c r="H151" i="10"/>
  <c r="B462" i="8"/>
  <c r="M75" i="7"/>
  <c r="S71"/>
  <c r="C71" i="9" s="1"/>
  <c r="H143" i="10"/>
  <c r="B434" i="8"/>
  <c r="M71" i="7"/>
  <c r="H135" i="10"/>
  <c r="B406" i="8"/>
  <c r="M67" i="7"/>
  <c r="S67" s="1"/>
  <c r="C67" i="9" s="1"/>
  <c r="S63" i="7"/>
  <c r="C63" i="9" s="1"/>
  <c r="H127" i="10"/>
  <c r="B378" i="8"/>
  <c r="M63" i="7"/>
  <c r="H119" i="10"/>
  <c r="B350" i="8"/>
  <c r="M59" i="7"/>
  <c r="S59" s="1"/>
  <c r="C59" i="9" s="1"/>
  <c r="H111" i="10"/>
  <c r="B322" i="8"/>
  <c r="M55" i="7"/>
  <c r="S55" s="1"/>
  <c r="C55" i="9" s="1"/>
  <c r="H103" i="10"/>
  <c r="B294" i="8"/>
  <c r="M51" i="7"/>
  <c r="S51" s="1"/>
  <c r="C51" i="9" s="1"/>
  <c r="H95" i="10"/>
  <c r="B266" i="8"/>
  <c r="M47" i="7"/>
  <c r="S47" s="1"/>
  <c r="C47" i="9" s="1"/>
  <c r="H87" i="10"/>
  <c r="B238" i="8"/>
  <c r="M43" i="7"/>
  <c r="S43" s="1"/>
  <c r="C43" i="9" s="1"/>
  <c r="M37" i="7"/>
  <c r="M33"/>
  <c r="M29"/>
  <c r="H51" i="10"/>
  <c r="B112" i="8"/>
  <c r="M25" i="7"/>
  <c r="S25" s="1"/>
  <c r="C25" i="9" s="1"/>
  <c r="G25" s="1"/>
  <c r="F25" s="1"/>
  <c r="E111" i="1"/>
  <c r="B111" s="1"/>
  <c r="C217" i="10"/>
  <c r="G218" s="1"/>
  <c r="C218" s="1"/>
  <c r="B691" i="8"/>
  <c r="E691" s="1"/>
  <c r="E690" s="1"/>
  <c r="E107" i="1"/>
  <c r="C209" i="10"/>
  <c r="G210" s="1"/>
  <c r="C210" s="1"/>
  <c r="B663" i="8"/>
  <c r="E663" s="1"/>
  <c r="E662" s="1"/>
  <c r="E103" i="1"/>
  <c r="G103" s="1"/>
  <c r="C201" i="10"/>
  <c r="G202" s="1"/>
  <c r="C202" s="1"/>
  <c r="B635" i="8"/>
  <c r="E635" s="1"/>
  <c r="E634" s="1"/>
  <c r="E99" i="1"/>
  <c r="G99" s="1"/>
  <c r="C193" i="10"/>
  <c r="G194" s="1"/>
  <c r="C194" s="1"/>
  <c r="B607" i="8"/>
  <c r="E607" s="1"/>
  <c r="E606" s="1"/>
  <c r="E95" i="1"/>
  <c r="G95" s="1"/>
  <c r="C185" i="10"/>
  <c r="G186" s="1"/>
  <c r="C186" s="1"/>
  <c r="B579" i="8"/>
  <c r="E579" s="1"/>
  <c r="E578" s="1"/>
  <c r="E91" i="1"/>
  <c r="G91" s="1"/>
  <c r="C177" i="10"/>
  <c r="G178" s="1"/>
  <c r="C178" s="1"/>
  <c r="B551" i="8"/>
  <c r="E551" s="1"/>
  <c r="E550" s="1"/>
  <c r="E87" i="1"/>
  <c r="G87" s="1"/>
  <c r="C169" i="10"/>
  <c r="G170" s="1"/>
  <c r="C170" s="1"/>
  <c r="B523" i="8"/>
  <c r="E523" s="1"/>
  <c r="E522" s="1"/>
  <c r="E83" i="1"/>
  <c r="G83" s="1"/>
  <c r="C161" i="10"/>
  <c r="G162" s="1"/>
  <c r="C162" s="1"/>
  <c r="B495" i="8"/>
  <c r="E495" s="1"/>
  <c r="E494" s="1"/>
  <c r="E81" i="1"/>
  <c r="G81" s="1"/>
  <c r="C157" i="10"/>
  <c r="G158" s="1"/>
  <c r="C158" s="1"/>
  <c r="B481" i="8"/>
  <c r="E481" s="1"/>
  <c r="E480" s="1"/>
  <c r="E77" i="1"/>
  <c r="A77" s="1"/>
  <c r="C149" i="10"/>
  <c r="G150" s="1"/>
  <c r="C150" s="1"/>
  <c r="B453" i="8"/>
  <c r="E453" s="1"/>
  <c r="E452" s="1"/>
  <c r="E73" i="1"/>
  <c r="G73" s="1"/>
  <c r="C141" i="10"/>
  <c r="G142" s="1"/>
  <c r="C142" s="1"/>
  <c r="B425" i="8"/>
  <c r="E425" s="1"/>
  <c r="E424" s="1"/>
  <c r="E69" i="1"/>
  <c r="A69" s="1"/>
  <c r="C133" i="10"/>
  <c r="G134" s="1"/>
  <c r="C134" s="1"/>
  <c r="B397" i="8"/>
  <c r="E397" s="1"/>
  <c r="E396" s="1"/>
  <c r="E65" i="1"/>
  <c r="A65" s="1"/>
  <c r="C125" i="10"/>
  <c r="G126" s="1"/>
  <c r="C126" s="1"/>
  <c r="B369" i="8"/>
  <c r="E369" s="1"/>
  <c r="E368" s="1"/>
  <c r="E61" i="1"/>
  <c r="A61" s="1"/>
  <c r="C117" i="10"/>
  <c r="G118" s="1"/>
  <c r="C118" s="1"/>
  <c r="B341" i="8"/>
  <c r="E341" s="1"/>
  <c r="E340" s="1"/>
  <c r="E57" i="1"/>
  <c r="A57" s="1"/>
  <c r="C109" i="10"/>
  <c r="G110" s="1"/>
  <c r="C110" s="1"/>
  <c r="B313" i="8"/>
  <c r="E313" s="1"/>
  <c r="E312" s="1"/>
  <c r="E53" i="1"/>
  <c r="A53" s="1"/>
  <c r="C101" i="10"/>
  <c r="G102" s="1"/>
  <c r="C102" s="1"/>
  <c r="B285" i="8"/>
  <c r="E285" s="1"/>
  <c r="E284" s="1"/>
  <c r="E49" i="1"/>
  <c r="B49" s="1"/>
  <c r="C93" i="10"/>
  <c r="G94" s="1"/>
  <c r="C94" s="1"/>
  <c r="B257" i="8"/>
  <c r="E257" s="1"/>
  <c r="E256" s="1"/>
  <c r="E45" i="1"/>
  <c r="A45" s="1"/>
  <c r="C85" i="10"/>
  <c r="G86" s="1"/>
  <c r="C86" s="1"/>
  <c r="B229" i="8"/>
  <c r="E229" s="1"/>
  <c r="E228" s="1"/>
  <c r="E43" i="1"/>
  <c r="A43" s="1"/>
  <c r="C81" i="10"/>
  <c r="G82" s="1"/>
  <c r="C82" s="1"/>
  <c r="B215" i="8"/>
  <c r="E215" s="1"/>
  <c r="E214" s="1"/>
  <c r="E39" i="1"/>
  <c r="A39" s="1"/>
  <c r="E35"/>
  <c r="G35" s="1"/>
  <c r="E31"/>
  <c r="A31" s="1"/>
  <c r="E27"/>
  <c r="A27" s="1"/>
  <c r="C49" i="10"/>
  <c r="G50" s="1"/>
  <c r="C50" s="1"/>
  <c r="B103" i="8"/>
  <c r="E103" s="1"/>
  <c r="E102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/>
  <c r="C93" i="9" s="1"/>
  <c r="H187" i="10"/>
  <c r="B588" i="8"/>
  <c r="M93" i="7"/>
  <c r="S89"/>
  <c r="C89" i="9" s="1"/>
  <c r="H179" i="10"/>
  <c r="B560" i="8"/>
  <c r="M89" i="7"/>
  <c r="S85"/>
  <c r="C85" i="9" s="1"/>
  <c r="H171" i="10"/>
  <c r="B532" i="8"/>
  <c r="M85" i="7"/>
  <c r="S81"/>
  <c r="C81" i="9" s="1"/>
  <c r="H163" i="10"/>
  <c r="B504" i="8"/>
  <c r="M81" i="7"/>
  <c r="S77"/>
  <c r="C77" i="9" s="1"/>
  <c r="H155" i="10"/>
  <c r="B476" i="8"/>
  <c r="M77" i="7"/>
  <c r="S73"/>
  <c r="C73" i="9" s="1"/>
  <c r="H147" i="10"/>
  <c r="B448" i="8"/>
  <c r="M73" i="7"/>
  <c r="S69"/>
  <c r="C69" i="9" s="1"/>
  <c r="H139" i="10"/>
  <c r="B420" i="8"/>
  <c r="M69" i="7"/>
  <c r="S65"/>
  <c r="C65" i="9" s="1"/>
  <c r="H131" i="10"/>
  <c r="B392" i="8"/>
  <c r="M65" i="7"/>
  <c r="H123" i="10"/>
  <c r="B364" i="8"/>
  <c r="M61" i="7"/>
  <c r="S61" s="1"/>
  <c r="C61" i="9" s="1"/>
  <c r="H115" i="10"/>
  <c r="B336" i="8"/>
  <c r="M57" i="7"/>
  <c r="S57" s="1"/>
  <c r="C57" i="9" s="1"/>
  <c r="H107" i="10"/>
  <c r="B308" i="8"/>
  <c r="M53" i="7"/>
  <c r="S53" s="1"/>
  <c r="C53" i="9" s="1"/>
  <c r="H99" i="10"/>
  <c r="B280" i="8"/>
  <c r="M49" i="7"/>
  <c r="S49" s="1"/>
  <c r="C49" i="9" s="1"/>
  <c r="H91" i="10"/>
  <c r="B252" i="8"/>
  <c r="M45" i="7"/>
  <c r="S45" s="1"/>
  <c r="C45" i="9" s="1"/>
  <c r="H83" i="10"/>
  <c r="B224" i="8"/>
  <c r="M41" i="7"/>
  <c r="S41" s="1"/>
  <c r="C41" i="9" s="1"/>
  <c r="G41" s="1"/>
  <c r="F41" s="1"/>
  <c r="M39" i="7"/>
  <c r="M35"/>
  <c r="M31"/>
  <c r="M27"/>
  <c r="C219" i="10"/>
  <c r="G220" s="1"/>
  <c r="C220" s="1"/>
  <c r="B698" i="8"/>
  <c r="E698" s="1"/>
  <c r="E697" s="1"/>
  <c r="E112" i="1"/>
  <c r="C221" i="10"/>
  <c r="G222" s="1"/>
  <c r="C222" s="1"/>
  <c r="C215"/>
  <c r="G216" s="1"/>
  <c r="C216" s="1"/>
  <c r="B684" i="8"/>
  <c r="E684" s="1"/>
  <c r="E683" s="1"/>
  <c r="E110" i="1"/>
  <c r="C211" i="10"/>
  <c r="G212" s="1"/>
  <c r="C212" s="1"/>
  <c r="B670" i="8"/>
  <c r="E670" s="1"/>
  <c r="E669" s="1"/>
  <c r="E108" i="1"/>
  <c r="C207" i="10"/>
  <c r="G208" s="1"/>
  <c r="C208" s="1"/>
  <c r="B656" i="8"/>
  <c r="E656" s="1"/>
  <c r="E655" s="1"/>
  <c r="E106" i="1"/>
  <c r="C203" i="10"/>
  <c r="G204" s="1"/>
  <c r="C204" s="1"/>
  <c r="B642" i="8"/>
  <c r="E642" s="1"/>
  <c r="E641" s="1"/>
  <c r="E104" i="1"/>
  <c r="B104" s="1"/>
  <c r="C199" i="10"/>
  <c r="G200" s="1"/>
  <c r="C200" s="1"/>
  <c r="B628" i="8"/>
  <c r="E628" s="1"/>
  <c r="E627" s="1"/>
  <c r="E102" i="1"/>
  <c r="B102" s="1"/>
  <c r="C195" i="10"/>
  <c r="G196" s="1"/>
  <c r="C196" s="1"/>
  <c r="B614" i="8"/>
  <c r="E614" s="1"/>
  <c r="E613" s="1"/>
  <c r="E100" i="1"/>
  <c r="C191" i="10"/>
  <c r="G192" s="1"/>
  <c r="C192" s="1"/>
  <c r="B600" i="8"/>
  <c r="E600" s="1"/>
  <c r="E599" s="1"/>
  <c r="E98" i="1"/>
  <c r="B98" s="1"/>
  <c r="C187" i="10"/>
  <c r="G188" s="1"/>
  <c r="C188" s="1"/>
  <c r="B586" i="8"/>
  <c r="E586" s="1"/>
  <c r="E585" s="1"/>
  <c r="E96" i="1"/>
  <c r="B96" s="1"/>
  <c r="C183" i="10"/>
  <c r="G184" s="1"/>
  <c r="C184" s="1"/>
  <c r="B572" i="8"/>
  <c r="E572" s="1"/>
  <c r="E571" s="1"/>
  <c r="E94" i="1"/>
  <c r="B94" s="1"/>
  <c r="C179" i="10"/>
  <c r="G180" s="1"/>
  <c r="C180" s="1"/>
  <c r="E92" i="1"/>
  <c r="B558" i="8"/>
  <c r="E558" s="1"/>
  <c r="E557" s="1"/>
  <c r="E90" i="1"/>
  <c r="B90" s="1"/>
  <c r="C175" i="10"/>
  <c r="G176" s="1"/>
  <c r="C176" s="1"/>
  <c r="B544" i="8"/>
  <c r="E544" s="1"/>
  <c r="E543" s="1"/>
  <c r="C171" i="10"/>
  <c r="G172" s="1"/>
  <c r="C172" s="1"/>
  <c r="B530" i="8"/>
  <c r="E530" s="1"/>
  <c r="E529" s="1"/>
  <c r="E88" i="1"/>
  <c r="B88" s="1"/>
  <c r="E86"/>
  <c r="B86" s="1"/>
  <c r="C167" i="10"/>
  <c r="G168" s="1"/>
  <c r="C168" s="1"/>
  <c r="B516" i="8"/>
  <c r="E516" s="1"/>
  <c r="E515" s="1"/>
  <c r="C163" i="10"/>
  <c r="G164" s="1"/>
  <c r="C164" s="1"/>
  <c r="B502" i="8"/>
  <c r="E502" s="1"/>
  <c r="E501" s="1"/>
  <c r="E84" i="1"/>
  <c r="E82"/>
  <c r="B82" s="1"/>
  <c r="C159" i="10"/>
  <c r="G160" s="1"/>
  <c r="C160" s="1"/>
  <c r="B488" i="8"/>
  <c r="E488" s="1"/>
  <c r="E487" s="1"/>
  <c r="C155" i="10"/>
  <c r="G156" s="1"/>
  <c r="C156" s="1"/>
  <c r="B474" i="8"/>
  <c r="E474" s="1"/>
  <c r="E473" s="1"/>
  <c r="E80" i="1"/>
  <c r="B80" s="1"/>
  <c r="E78"/>
  <c r="B78" s="1"/>
  <c r="C151" i="10"/>
  <c r="G152" s="1"/>
  <c r="C152" s="1"/>
  <c r="B460" i="8"/>
  <c r="E460" s="1"/>
  <c r="E459" s="1"/>
  <c r="C147" i="10"/>
  <c r="G148" s="1"/>
  <c r="C148" s="1"/>
  <c r="B446" i="8"/>
  <c r="E446" s="1"/>
  <c r="E445" s="1"/>
  <c r="E76" i="1"/>
  <c r="B76" s="1"/>
  <c r="E74"/>
  <c r="B74" s="1"/>
  <c r="C143" i="10"/>
  <c r="G144" s="1"/>
  <c r="C144" s="1"/>
  <c r="B432" i="8"/>
  <c r="E432" s="1"/>
  <c r="E431" s="1"/>
  <c r="C139" i="10"/>
  <c r="G140" s="1"/>
  <c r="C140" s="1"/>
  <c r="B418" i="8"/>
  <c r="E418" s="1"/>
  <c r="E417" s="1"/>
  <c r="E72" i="1"/>
  <c r="B72" s="1"/>
  <c r="E70"/>
  <c r="C135" i="10"/>
  <c r="G136" s="1"/>
  <c r="C136" s="1"/>
  <c r="B404" i="8"/>
  <c r="E404" s="1"/>
  <c r="E403" s="1"/>
  <c r="C131" i="10"/>
  <c r="G132" s="1"/>
  <c r="C132" s="1"/>
  <c r="B390" i="8"/>
  <c r="E390" s="1"/>
  <c r="E389" s="1"/>
  <c r="E68" i="1"/>
  <c r="B68" s="1"/>
  <c r="E66"/>
  <c r="B66" s="1"/>
  <c r="C127" i="10"/>
  <c r="G128" s="1"/>
  <c r="C128" s="1"/>
  <c r="B376" i="8"/>
  <c r="E376" s="1"/>
  <c r="E375" s="1"/>
  <c r="C123" i="10"/>
  <c r="G124" s="1"/>
  <c r="C124" s="1"/>
  <c r="B362" i="8"/>
  <c r="E362" s="1"/>
  <c r="E361" s="1"/>
  <c r="E64" i="1"/>
  <c r="B64" s="1"/>
  <c r="E62"/>
  <c r="B348" i="8"/>
  <c r="E348" s="1"/>
  <c r="E347" s="1"/>
  <c r="C119" i="10"/>
  <c r="G120" s="1"/>
  <c r="C120" s="1"/>
  <c r="B334" i="8"/>
  <c r="E334" s="1"/>
  <c r="E333" s="1"/>
  <c r="E60" i="1"/>
  <c r="B60" s="1"/>
  <c r="C115" i="10"/>
  <c r="G116" s="1"/>
  <c r="C116" s="1"/>
  <c r="E58" i="1"/>
  <c r="B58" s="1"/>
  <c r="B320" i="8"/>
  <c r="E320" s="1"/>
  <c r="E319" s="1"/>
  <c r="C111" i="10"/>
  <c r="G112" s="1"/>
  <c r="C112" s="1"/>
  <c r="B306" i="8"/>
  <c r="E306" s="1"/>
  <c r="E305" s="1"/>
  <c r="E56" i="1"/>
  <c r="B56" s="1"/>
  <c r="C107" i="10"/>
  <c r="G108" s="1"/>
  <c r="C108" s="1"/>
  <c r="E54" i="1"/>
  <c r="B54" s="1"/>
  <c r="B292" i="8"/>
  <c r="E292" s="1"/>
  <c r="E291" s="1"/>
  <c r="C103" i="10"/>
  <c r="G104" s="1"/>
  <c r="C104" s="1"/>
  <c r="B278" i="8"/>
  <c r="E278" s="1"/>
  <c r="E277" s="1"/>
  <c r="E52" i="1"/>
  <c r="C99" i="10"/>
  <c r="G100" s="1"/>
  <c r="C100" s="1"/>
  <c r="E50" i="1"/>
  <c r="B50" s="1"/>
  <c r="B264" i="8"/>
  <c r="E264" s="1"/>
  <c r="E263" s="1"/>
  <c r="C95" i="10"/>
  <c r="G96" s="1"/>
  <c r="C96" s="1"/>
  <c r="B250" i="8"/>
  <c r="E250" s="1"/>
  <c r="E249" s="1"/>
  <c r="E48" i="1"/>
  <c r="B48" s="1"/>
  <c r="C91" i="10"/>
  <c r="G92" s="1"/>
  <c r="C92" s="1"/>
  <c r="E46" i="1"/>
  <c r="B236" i="8"/>
  <c r="E236" s="1"/>
  <c r="E235" s="1"/>
  <c r="C87" i="10"/>
  <c r="G88" s="1"/>
  <c r="C88" s="1"/>
  <c r="B222" i="8"/>
  <c r="E222" s="1"/>
  <c r="E221" s="1"/>
  <c r="E44" i="1"/>
  <c r="C83" i="10"/>
  <c r="G84" s="1"/>
  <c r="C84" s="1"/>
  <c r="E42" i="1"/>
  <c r="B42" s="1"/>
  <c r="E40"/>
  <c r="B40" s="1"/>
  <c r="E38"/>
  <c r="B38" s="1"/>
  <c r="E36"/>
  <c r="B36" s="1"/>
  <c r="E34"/>
  <c r="B34" s="1"/>
  <c r="E32"/>
  <c r="A32" s="1"/>
  <c r="E30"/>
  <c r="A30" s="1"/>
  <c r="B110" i="8"/>
  <c r="E110" s="1"/>
  <c r="E109" s="1"/>
  <c r="E28" i="1"/>
  <c r="A28" s="1"/>
  <c r="C51" i="10"/>
  <c r="G52" s="1"/>
  <c r="C52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G40" s="1"/>
  <c r="F40" s="1"/>
  <c r="B217" i="8"/>
  <c r="H81" i="10"/>
  <c r="M26" i="7"/>
  <c r="S26" s="1"/>
  <c r="C26" i="9" s="1"/>
  <c r="G26" s="1"/>
  <c r="F26" s="1"/>
  <c r="B105" i="8"/>
  <c r="H49" i="10"/>
  <c r="L109" i="7"/>
  <c r="B699" i="8" s="1"/>
  <c r="D697" s="1"/>
  <c r="L107" i="7"/>
  <c r="B685" i="8" s="1"/>
  <c r="D683" s="1"/>
  <c r="L105" i="7"/>
  <c r="B671" i="8" s="1"/>
  <c r="D669" s="1"/>
  <c r="L103" i="7"/>
  <c r="B657" i="8" s="1"/>
  <c r="D655" s="1"/>
  <c r="L101" i="7"/>
  <c r="B643" i="8" s="1"/>
  <c r="D641" s="1"/>
  <c r="L99" i="7"/>
  <c r="B629" i="8" s="1"/>
  <c r="D627" s="1"/>
  <c r="L97" i="7"/>
  <c r="B615" i="8" s="1"/>
  <c r="D613" s="1"/>
  <c r="L95" i="7"/>
  <c r="B601" i="8" s="1"/>
  <c r="D599" s="1"/>
  <c r="L93" i="7"/>
  <c r="B587" i="8" s="1"/>
  <c r="D585" s="1"/>
  <c r="L91" i="7"/>
  <c r="B573" i="8" s="1"/>
  <c r="D571" s="1"/>
  <c r="L89" i="7"/>
  <c r="B559" i="8" s="1"/>
  <c r="D557" s="1"/>
  <c r="L87" i="7"/>
  <c r="B545" i="8" s="1"/>
  <c r="D543" s="1"/>
  <c r="L85" i="7"/>
  <c r="B531" i="8" s="1"/>
  <c r="D529" s="1"/>
  <c r="L83" i="7"/>
  <c r="B517" i="8" s="1"/>
  <c r="D515" s="1"/>
  <c r="L81" i="7"/>
  <c r="L79"/>
  <c r="B489" i="8" s="1"/>
  <c r="D487" s="1"/>
  <c r="L77" i="7"/>
  <c r="B475" i="8" s="1"/>
  <c r="D473" s="1"/>
  <c r="L75" i="7"/>
  <c r="B461" i="8" s="1"/>
  <c r="D459" s="1"/>
  <c r="L73" i="7"/>
  <c r="B447" i="8" s="1"/>
  <c r="D446" s="1"/>
  <c r="L71" i="7"/>
  <c r="B433" i="8" s="1"/>
  <c r="D432" s="1"/>
  <c r="L69" i="7"/>
  <c r="B419" i="8" s="1"/>
  <c r="D418" s="1"/>
  <c r="L67" i="7"/>
  <c r="B405" i="8" s="1"/>
  <c r="D403" s="1"/>
  <c r="L65" i="7"/>
  <c r="B391" i="8" s="1"/>
  <c r="D390" s="1"/>
  <c r="L63" i="7"/>
  <c r="B377" i="8" s="1"/>
  <c r="D376" s="1"/>
  <c r="L61" i="7"/>
  <c r="B363" i="8" s="1"/>
  <c r="D362" s="1"/>
  <c r="L59" i="7"/>
  <c r="B349" i="8" s="1"/>
  <c r="D347" s="1"/>
  <c r="L57" i="7"/>
  <c r="B335" i="8" s="1"/>
  <c r="D333" s="1"/>
  <c r="L55" i="7"/>
  <c r="B321" i="8" s="1"/>
  <c r="D319" s="1"/>
  <c r="L53" i="7"/>
  <c r="B307" i="8" s="1"/>
  <c r="D305" s="1"/>
  <c r="L51" i="7"/>
  <c r="B293" i="8" s="1"/>
  <c r="D291" s="1"/>
  <c r="L49" i="7"/>
  <c r="L47"/>
  <c r="B265" i="8" s="1"/>
  <c r="L45" i="7"/>
  <c r="B251" i="8" s="1"/>
  <c r="D249" s="1"/>
  <c r="L43" i="7"/>
  <c r="B237" i="8" s="1"/>
  <c r="D235" s="1"/>
  <c r="L41" i="7"/>
  <c r="L25"/>
  <c r="B111" i="8" s="1"/>
  <c r="M109" i="7"/>
  <c r="M107"/>
  <c r="M105"/>
  <c r="M103"/>
  <c r="M101"/>
  <c r="M98"/>
  <c r="M94"/>
  <c r="M90"/>
  <c r="M86"/>
  <c r="M82"/>
  <c r="M78"/>
  <c r="M74"/>
  <c r="M70"/>
  <c r="M66"/>
  <c r="S66" s="1"/>
  <c r="C66" i="9" s="1"/>
  <c r="M62" i="7"/>
  <c r="S62" s="1"/>
  <c r="C62" i="9" s="1"/>
  <c r="M58" i="7"/>
  <c r="S58" s="1"/>
  <c r="C58" i="9" s="1"/>
  <c r="M54" i="7"/>
  <c r="S54" s="1"/>
  <c r="C54" i="9" s="1"/>
  <c r="M50" i="7"/>
  <c r="S50" s="1"/>
  <c r="C50" i="9" s="1"/>
  <c r="M46" i="7"/>
  <c r="M42"/>
  <c r="S42" s="1"/>
  <c r="C42" i="9" s="1"/>
  <c r="M24" i="7"/>
  <c r="S24" s="1"/>
  <c r="C24" i="9" s="1"/>
  <c r="G24" s="1"/>
  <c r="F24" s="1"/>
  <c r="C45" i="10"/>
  <c r="G46" s="1"/>
  <c r="C46" s="1"/>
  <c r="E25" i="1"/>
  <c r="B89" i="8"/>
  <c r="E89" s="1"/>
  <c r="E88" s="1"/>
  <c r="C41" i="10"/>
  <c r="G42" s="1"/>
  <c r="C42" s="1"/>
  <c r="E23" i="1"/>
  <c r="A23" s="1"/>
  <c r="B75" i="8"/>
  <c r="E75" s="1"/>
  <c r="E74" s="1"/>
  <c r="E21" i="1"/>
  <c r="E19"/>
  <c r="A19" s="1"/>
  <c r="C33" i="10"/>
  <c r="G34" s="1"/>
  <c r="C34" s="1"/>
  <c r="B47" i="8"/>
  <c r="E47" s="1"/>
  <c r="E46" s="1"/>
  <c r="E17" i="1"/>
  <c r="B17" s="1"/>
  <c r="C29" i="10"/>
  <c r="G30" s="1"/>
  <c r="C30" s="1"/>
  <c r="B33" i="8"/>
  <c r="E33" s="1"/>
  <c r="E32" s="1"/>
  <c r="E15" i="1"/>
  <c r="C25" i="10"/>
  <c r="G26" s="1"/>
  <c r="C26" s="1"/>
  <c r="B19" i="8"/>
  <c r="E19" s="1"/>
  <c r="E1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s="1"/>
  <c r="L20" i="7"/>
  <c r="B76" i="8" s="1"/>
  <c r="D74" s="1"/>
  <c r="L17" i="7"/>
  <c r="B55" i="8" s="1"/>
  <c r="L15" i="7"/>
  <c r="B41" i="8" s="1"/>
  <c r="D40" s="1"/>
  <c r="L13" i="7"/>
  <c r="B27" i="8" s="1"/>
  <c r="D26" s="1"/>
  <c r="L11" i="7"/>
  <c r="B13" i="8" s="1"/>
  <c r="D12" s="1"/>
  <c r="M17" i="7"/>
  <c r="S17" s="1"/>
  <c r="C17" i="9" s="1"/>
  <c r="G17" s="1"/>
  <c r="F17" s="1"/>
  <c r="M15" i="7"/>
  <c r="S15" s="1"/>
  <c r="C15" i="9" s="1"/>
  <c r="G15" s="1"/>
  <c r="F15" s="1"/>
  <c r="M13" i="7"/>
  <c r="S13" s="1"/>
  <c r="C13" i="9" s="1"/>
  <c r="G13" s="1"/>
  <c r="F13" s="1"/>
  <c r="M11" i="7"/>
  <c r="S11" s="1"/>
  <c r="C11" i="9" s="1"/>
  <c r="G11" s="1"/>
  <c r="F11" s="1"/>
  <c r="E26" i="1"/>
  <c r="A26" s="1"/>
  <c r="B96" i="8"/>
  <c r="E96" s="1"/>
  <c r="E95" s="1"/>
  <c r="C47" i="10"/>
  <c r="G48" s="1"/>
  <c r="C48" s="1"/>
  <c r="E24" i="1"/>
  <c r="A24" s="1"/>
  <c r="B82" i="8"/>
  <c r="E82" s="1"/>
  <c r="E81" s="1"/>
  <c r="C43" i="10"/>
  <c r="G44" s="1"/>
  <c r="C44" s="1"/>
  <c r="E22" i="1"/>
  <c r="A22" s="1"/>
  <c r="C39" i="10"/>
  <c r="G40" s="1"/>
  <c r="C40" s="1"/>
  <c r="B68" i="8"/>
  <c r="E68" s="1"/>
  <c r="E67" s="1"/>
  <c r="E20" i="1"/>
  <c r="A20" s="1"/>
  <c r="C35" i="10"/>
  <c r="G36" s="1"/>
  <c r="C36" s="1"/>
  <c r="B54" i="8"/>
  <c r="E54" s="1"/>
  <c r="E53" s="1"/>
  <c r="E18" i="1"/>
  <c r="A18" s="1"/>
  <c r="C31" i="10"/>
  <c r="G32" s="1"/>
  <c r="C32" s="1"/>
  <c r="B40" i="8"/>
  <c r="E40" s="1"/>
  <c r="E39" s="1"/>
  <c r="E16" i="1"/>
  <c r="A16" s="1"/>
  <c r="C27" i="10"/>
  <c r="G28" s="1"/>
  <c r="C28" s="1"/>
  <c r="B26" i="8"/>
  <c r="E26" s="1"/>
  <c r="E25" s="1"/>
  <c r="C9" i="12"/>
  <c r="C23" i="10"/>
  <c r="G24" s="1"/>
  <c r="C24" s="1"/>
  <c r="B12" i="8"/>
  <c r="E12" s="1"/>
  <c r="E11" s="1"/>
  <c r="E14" i="1"/>
  <c r="G14" s="1"/>
  <c r="L14" s="1"/>
  <c r="K14" s="1"/>
  <c r="H45" i="10"/>
  <c r="B91" i="8"/>
  <c r="S22" i="7"/>
  <c r="C22" i="9" s="1"/>
  <c r="G22" s="1"/>
  <c r="F22" s="1"/>
  <c r="H41" i="10"/>
  <c r="B77" i="8"/>
  <c r="M18" i="7"/>
  <c r="S18" s="1"/>
  <c r="C18" i="9" s="1"/>
  <c r="G18" s="1"/>
  <c r="F18" s="1"/>
  <c r="B49" i="8"/>
  <c r="H33" i="10"/>
  <c r="B35" i="8"/>
  <c r="H29" i="10"/>
  <c r="B21" i="8"/>
  <c r="H25" i="10"/>
  <c r="L23" i="7"/>
  <c r="B97" i="8" s="1"/>
  <c r="L21" i="7"/>
  <c r="B83" i="8" s="1"/>
  <c r="D81" s="1"/>
  <c r="L19" i="7"/>
  <c r="B69" i="8" s="1"/>
  <c r="L16" i="7"/>
  <c r="B48" i="8" s="1"/>
  <c r="D47" s="1"/>
  <c r="L14" i="7"/>
  <c r="B34" i="8" s="1"/>
  <c r="D33" s="1"/>
  <c r="L12" i="7"/>
  <c r="B20" i="8" s="1"/>
  <c r="D19" s="1"/>
  <c r="M23" i="7"/>
  <c r="S23" s="1"/>
  <c r="C23" i="9" s="1"/>
  <c r="G23" s="1"/>
  <c r="F23" s="1"/>
  <c r="M21" i="7"/>
  <c r="S21" s="1"/>
  <c r="C21" i="9" s="1"/>
  <c r="G21" s="1"/>
  <c r="F21" s="1"/>
  <c r="M19" i="7"/>
  <c r="S19" s="1"/>
  <c r="C19" i="9" s="1"/>
  <c r="G19" s="1"/>
  <c r="F19" s="1"/>
  <c r="M16" i="7"/>
  <c r="S16" s="1"/>
  <c r="C16" i="9" s="1"/>
  <c r="G16" s="1"/>
  <c r="F16" s="1"/>
  <c r="M14" i="7"/>
  <c r="S14" s="1"/>
  <c r="C14" i="9" s="1"/>
  <c r="G14" s="1"/>
  <c r="F14" s="1"/>
  <c r="M12" i="7"/>
  <c r="S12" s="1"/>
  <c r="C12" i="9" s="1"/>
  <c r="G12" s="1"/>
  <c r="F12" s="1"/>
  <c r="B117" i="8"/>
  <c r="E117" s="1"/>
  <c r="E116" s="1"/>
  <c r="C53" i="10"/>
  <c r="G54" s="1"/>
  <c r="C54" s="1"/>
  <c r="H53"/>
  <c r="B119" i="8"/>
  <c r="L26" i="7"/>
  <c r="B118" i="8" s="1"/>
  <c r="D116" s="1"/>
  <c r="B208"/>
  <c r="E208" s="1"/>
  <c r="E207" s="1"/>
  <c r="C79" i="10"/>
  <c r="G80" s="1"/>
  <c r="C80" s="1"/>
  <c r="B194" i="8"/>
  <c r="E194" s="1"/>
  <c r="E193" s="1"/>
  <c r="C75" i="10"/>
  <c r="G76" s="1"/>
  <c r="C76" s="1"/>
  <c r="B180" i="8"/>
  <c r="E180" s="1"/>
  <c r="E179" s="1"/>
  <c r="C71" i="10"/>
  <c r="G72" s="1"/>
  <c r="C72" s="1"/>
  <c r="C67"/>
  <c r="G68" s="1"/>
  <c r="C68" s="1"/>
  <c r="B166" i="8"/>
  <c r="E166" s="1"/>
  <c r="E165" s="1"/>
  <c r="B152"/>
  <c r="E152" s="1"/>
  <c r="E151" s="1"/>
  <c r="C63" i="10"/>
  <c r="G64" s="1"/>
  <c r="C64" s="1"/>
  <c r="B138" i="8"/>
  <c r="E138" s="1"/>
  <c r="E137" s="1"/>
  <c r="C59" i="10"/>
  <c r="G60" s="1"/>
  <c r="C60" s="1"/>
  <c r="B124" i="8"/>
  <c r="E124" s="1"/>
  <c r="E123" s="1"/>
  <c r="C55" i="10"/>
  <c r="G56" s="1"/>
  <c r="C56" s="1"/>
  <c r="H77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s="1"/>
  <c r="L35" i="7"/>
  <c r="B181" i="8" s="1"/>
  <c r="D180" s="1"/>
  <c r="L33" i="7"/>
  <c r="B167" i="8" s="1"/>
  <c r="L31" i="7"/>
  <c r="B153" i="8" s="1"/>
  <c r="L29" i="7"/>
  <c r="B139" i="8" s="1"/>
  <c r="D137" s="1"/>
  <c r="L27" i="7"/>
  <c r="B125" i="8" s="1"/>
  <c r="D124" s="1"/>
  <c r="C77" i="10"/>
  <c r="G78" s="1"/>
  <c r="C78" s="1"/>
  <c r="B201" i="8"/>
  <c r="E201" s="1"/>
  <c r="E200" s="1"/>
  <c r="C73" i="10"/>
  <c r="G74" s="1"/>
  <c r="C74" s="1"/>
  <c r="B187" i="8"/>
  <c r="E187" s="1"/>
  <c r="E186" s="1"/>
  <c r="C69" i="10"/>
  <c r="G70" s="1"/>
  <c r="C70" s="1"/>
  <c r="B173" i="8"/>
  <c r="E173" s="1"/>
  <c r="E172" s="1"/>
  <c r="C65" i="10"/>
  <c r="G66" s="1"/>
  <c r="C66" s="1"/>
  <c r="B159" i="8"/>
  <c r="E159" s="1"/>
  <c r="E158" s="1"/>
  <c r="C61" i="10"/>
  <c r="G62" s="1"/>
  <c r="C62" s="1"/>
  <c r="B145" i="8"/>
  <c r="E145" s="1"/>
  <c r="E144" s="1"/>
  <c r="C57" i="10"/>
  <c r="G58" s="1"/>
  <c r="C58" s="1"/>
  <c r="B131" i="8"/>
  <c r="E131" s="1"/>
  <c r="E130" s="1"/>
  <c r="S39" i="7"/>
  <c r="C39" i="9" s="1"/>
  <c r="G39" s="1"/>
  <c r="F39" s="1"/>
  <c r="H79" i="10"/>
  <c r="B210" i="8"/>
  <c r="S37" i="7"/>
  <c r="C37" i="9" s="1"/>
  <c r="G37" s="1"/>
  <c r="F37" s="1"/>
  <c r="H75" i="10"/>
  <c r="B196" i="8"/>
  <c r="S35" i="7"/>
  <c r="C35" i="9" s="1"/>
  <c r="G35" s="1"/>
  <c r="F35" s="1"/>
  <c r="H71" i="10"/>
  <c r="B182" i="8"/>
  <c r="S33" i="7"/>
  <c r="C33" i="9" s="1"/>
  <c r="G33" s="1"/>
  <c r="F33" s="1"/>
  <c r="H67" i="10"/>
  <c r="B168" i="8"/>
  <c r="S31" i="7"/>
  <c r="C31" i="9" s="1"/>
  <c r="G31" s="1"/>
  <c r="F31" s="1"/>
  <c r="H63" i="10"/>
  <c r="B154" i="8"/>
  <c r="S29" i="7"/>
  <c r="C29" i="9" s="1"/>
  <c r="G29" s="1"/>
  <c r="F29" s="1"/>
  <c r="H59" i="10"/>
  <c r="B140" i="8"/>
  <c r="S27" i="7"/>
  <c r="C27" i="9" s="1"/>
  <c r="G27" s="1"/>
  <c r="F27" s="1"/>
  <c r="H55" i="10"/>
  <c r="B126" i="8"/>
  <c r="L38" i="7"/>
  <c r="B202" i="8" s="1"/>
  <c r="D200" s="1"/>
  <c r="L36" i="7"/>
  <c r="B188" i="8" s="1"/>
  <c r="D187" s="1"/>
  <c r="L34" i="7"/>
  <c r="B174" i="8" s="1"/>
  <c r="D172" s="1"/>
  <c r="L32" i="7"/>
  <c r="B160" i="8" s="1"/>
  <c r="D158" s="1"/>
  <c r="L30" i="7"/>
  <c r="B146" i="8" s="1"/>
  <c r="D145" s="1"/>
  <c r="L28" i="7"/>
  <c r="B132" i="8" s="1"/>
  <c r="D130" s="1"/>
  <c r="M38" i="7"/>
  <c r="S38" s="1"/>
  <c r="C38" i="9" s="1"/>
  <c r="G38" s="1"/>
  <c r="F38" s="1"/>
  <c r="M36" i="7"/>
  <c r="S36" s="1"/>
  <c r="C36" i="9" s="1"/>
  <c r="G36" s="1"/>
  <c r="F36" s="1"/>
  <c r="M34" i="7"/>
  <c r="S34" s="1"/>
  <c r="C34" i="9" s="1"/>
  <c r="G34" s="1"/>
  <c r="F34" s="1"/>
  <c r="M32" i="7"/>
  <c r="S32" s="1"/>
  <c r="C32" i="9" s="1"/>
  <c r="G32" s="1"/>
  <c r="F32" s="1"/>
  <c r="M30" i="7"/>
  <c r="S30" s="1"/>
  <c r="C30" i="9" s="1"/>
  <c r="G30" s="1"/>
  <c r="F30" s="1"/>
  <c r="M28" i="7"/>
  <c r="S28" s="1"/>
  <c r="C28" i="9" s="1"/>
  <c r="G28" s="1"/>
  <c r="F28" s="1"/>
  <c r="C37" i="10"/>
  <c r="G38" s="1"/>
  <c r="C38" s="1"/>
  <c r="B61" i="8"/>
  <c r="E61" s="1"/>
  <c r="E60" s="1"/>
  <c r="H37" i="10"/>
  <c r="B63" i="8"/>
  <c r="L18" i="7"/>
  <c r="B62" i="8" s="1"/>
  <c r="D224" i="10"/>
  <c r="L224" s="1"/>
  <c r="K224" s="1"/>
  <c r="B622" i="8"/>
  <c r="D620" s="1"/>
  <c r="B594"/>
  <c r="D592" s="1"/>
  <c r="B566"/>
  <c r="D564" s="1"/>
  <c r="B552"/>
  <c r="D550" s="1"/>
  <c r="B510"/>
  <c r="D508" s="1"/>
  <c r="B496"/>
  <c r="D494" s="1"/>
  <c r="B454"/>
  <c r="D453" s="1"/>
  <c r="B426"/>
  <c r="D425" s="1"/>
  <c r="B398"/>
  <c r="D397" s="1"/>
  <c r="B370"/>
  <c r="D368" s="1"/>
  <c r="B356"/>
  <c r="D354" s="1"/>
  <c r="B342"/>
  <c r="D340" s="1"/>
  <c r="B328"/>
  <c r="D326" s="1"/>
  <c r="B503"/>
  <c r="D501" s="1"/>
  <c r="B279"/>
  <c r="D277" s="1"/>
  <c r="B223"/>
  <c r="A79" i="1"/>
  <c r="A75"/>
  <c r="L41"/>
  <c r="K41" s="1"/>
  <c r="A97"/>
  <c r="B91"/>
  <c r="A91"/>
  <c r="A73"/>
  <c r="B63"/>
  <c r="A47"/>
  <c r="B43"/>
  <c r="B107"/>
  <c r="L35"/>
  <c r="K35" s="1"/>
  <c r="B100"/>
  <c r="B92"/>
  <c r="B84"/>
  <c r="B70"/>
  <c r="B62"/>
  <c r="B52"/>
  <c r="B46"/>
  <c r="B44"/>
  <c r="D52" i="12" l="1"/>
  <c r="D96"/>
  <c r="D90"/>
  <c r="J10"/>
  <c r="I10" s="1"/>
  <c r="D82"/>
  <c r="J66"/>
  <c r="I66" s="1"/>
  <c r="D104"/>
  <c r="D32"/>
  <c r="J34"/>
  <c r="I34" s="1"/>
  <c r="J80"/>
  <c r="I80" s="1"/>
  <c r="J94"/>
  <c r="I94" s="1"/>
  <c r="D106"/>
  <c r="J84"/>
  <c r="I84" s="1"/>
  <c r="J98"/>
  <c r="I98" s="1"/>
  <c r="B59" i="1"/>
  <c r="A41"/>
  <c r="B73"/>
  <c r="B75"/>
  <c r="A89"/>
  <c r="B97"/>
  <c r="B83"/>
  <c r="A105"/>
  <c r="B79"/>
  <c r="J58" i="12"/>
  <c r="I58" s="1"/>
  <c r="D20"/>
  <c r="D42"/>
  <c r="D64"/>
  <c r="D26"/>
  <c r="J50"/>
  <c r="I50" s="1"/>
  <c r="J60"/>
  <c r="I60" s="1"/>
  <c r="D74"/>
  <c r="J86"/>
  <c r="I86" s="1"/>
  <c r="J72"/>
  <c r="I72" s="1"/>
  <c r="B214" i="10"/>
  <c r="J46" i="12"/>
  <c r="I46" s="1"/>
  <c r="D100"/>
  <c r="J54"/>
  <c r="I54" s="1"/>
  <c r="D44"/>
  <c r="D62"/>
  <c r="D70"/>
  <c r="D88"/>
  <c r="J22"/>
  <c r="I22" s="1"/>
  <c r="J30"/>
  <c r="I30" s="1"/>
  <c r="J38"/>
  <c r="I38" s="1"/>
  <c r="J78"/>
  <c r="I78" s="1"/>
  <c r="J102"/>
  <c r="I102" s="1"/>
  <c r="D12"/>
  <c r="D14"/>
  <c r="D10"/>
  <c r="J13"/>
  <c r="I13" s="1"/>
  <c r="B182" i="10"/>
  <c r="L37" i="13"/>
  <c r="K37" s="1"/>
  <c r="L28"/>
  <c r="K28" s="1"/>
  <c r="J40" i="12"/>
  <c r="I40" s="1"/>
  <c r="J76"/>
  <c r="I76" s="1"/>
  <c r="J18"/>
  <c r="I18" s="1"/>
  <c r="L29" i="13"/>
  <c r="K29" s="1"/>
  <c r="D13" i="12"/>
  <c r="L33" i="13"/>
  <c r="K33" s="1"/>
  <c r="L35"/>
  <c r="K35" s="1"/>
  <c r="G26"/>
  <c r="C26" s="1"/>
  <c r="L25"/>
  <c r="K25" s="1"/>
  <c r="B26"/>
  <c r="B51" i="1"/>
  <c r="B67"/>
  <c r="B99"/>
  <c r="B105"/>
  <c r="B95"/>
  <c r="L224" i="13"/>
  <c r="K224" s="1"/>
  <c r="L223"/>
  <c r="K223" s="1"/>
  <c r="G38"/>
  <c r="C38" s="1"/>
  <c r="B38"/>
  <c r="G54"/>
  <c r="C54" s="1"/>
  <c r="B54"/>
  <c r="L54" s="1"/>
  <c r="K54" s="1"/>
  <c r="G70"/>
  <c r="C70" s="1"/>
  <c r="B70"/>
  <c r="G86"/>
  <c r="C86" s="1"/>
  <c r="B86"/>
  <c r="G102"/>
  <c r="C102" s="1"/>
  <c r="B102"/>
  <c r="G118"/>
  <c r="C118" s="1"/>
  <c r="B118"/>
  <c r="G134"/>
  <c r="C134" s="1"/>
  <c r="B134"/>
  <c r="G150"/>
  <c r="C150" s="1"/>
  <c r="B150"/>
  <c r="G166"/>
  <c r="C166" s="1"/>
  <c r="B166"/>
  <c r="G182"/>
  <c r="C182" s="1"/>
  <c r="B182"/>
  <c r="G198"/>
  <c r="C198" s="1"/>
  <c r="B198"/>
  <c r="G214"/>
  <c r="C214" s="1"/>
  <c r="B214"/>
  <c r="G42"/>
  <c r="C42" s="1"/>
  <c r="B42"/>
  <c r="L42" s="1"/>
  <c r="K42" s="1"/>
  <c r="G74"/>
  <c r="C74" s="1"/>
  <c r="B74"/>
  <c r="G106"/>
  <c r="C106" s="1"/>
  <c r="B106"/>
  <c r="G146"/>
  <c r="C146" s="1"/>
  <c r="B146"/>
  <c r="G178"/>
  <c r="C178" s="1"/>
  <c r="B178"/>
  <c r="G218"/>
  <c r="C218" s="1"/>
  <c r="B218"/>
  <c r="L113"/>
  <c r="K113" s="1"/>
  <c r="L114"/>
  <c r="K114" s="1"/>
  <c r="L138"/>
  <c r="K138" s="1"/>
  <c r="L137"/>
  <c r="K137" s="1"/>
  <c r="L169"/>
  <c r="K169" s="1"/>
  <c r="L170"/>
  <c r="K170" s="1"/>
  <c r="L201"/>
  <c r="K201" s="1"/>
  <c r="L202"/>
  <c r="K202" s="1"/>
  <c r="G32"/>
  <c r="C32" s="1"/>
  <c r="B32"/>
  <c r="G80"/>
  <c r="C80" s="1"/>
  <c r="B80"/>
  <c r="G112"/>
  <c r="C112" s="1"/>
  <c r="B112"/>
  <c r="G152"/>
  <c r="C152" s="1"/>
  <c r="B152"/>
  <c r="G192"/>
  <c r="C192" s="1"/>
  <c r="B192"/>
  <c r="L62"/>
  <c r="K62" s="1"/>
  <c r="L61"/>
  <c r="K61" s="1"/>
  <c r="L77"/>
  <c r="K77" s="1"/>
  <c r="L78"/>
  <c r="K78" s="1"/>
  <c r="L93"/>
  <c r="K93" s="1"/>
  <c r="L94"/>
  <c r="K94" s="1"/>
  <c r="L110"/>
  <c r="K110" s="1"/>
  <c r="L109"/>
  <c r="K109" s="1"/>
  <c r="L126"/>
  <c r="K126" s="1"/>
  <c r="L125"/>
  <c r="K125" s="1"/>
  <c r="L141"/>
  <c r="K141" s="1"/>
  <c r="L142"/>
  <c r="K142" s="1"/>
  <c r="L158"/>
  <c r="K158" s="1"/>
  <c r="L157"/>
  <c r="K157" s="1"/>
  <c r="L174"/>
  <c r="K174" s="1"/>
  <c r="L173"/>
  <c r="K173" s="1"/>
  <c r="L190"/>
  <c r="K190" s="1"/>
  <c r="L189"/>
  <c r="K189" s="1"/>
  <c r="L205"/>
  <c r="K205" s="1"/>
  <c r="L206"/>
  <c r="K206" s="1"/>
  <c r="L221"/>
  <c r="K221" s="1"/>
  <c r="L222"/>
  <c r="K222" s="1"/>
  <c r="G36"/>
  <c r="C36" s="1"/>
  <c r="B36"/>
  <c r="G52"/>
  <c r="C52" s="1"/>
  <c r="B52"/>
  <c r="L52" s="1"/>
  <c r="K52" s="1"/>
  <c r="G68"/>
  <c r="C68" s="1"/>
  <c r="B68"/>
  <c r="G84"/>
  <c r="C84" s="1"/>
  <c r="B84"/>
  <c r="G100"/>
  <c r="C100" s="1"/>
  <c r="B100"/>
  <c r="G116"/>
  <c r="C116" s="1"/>
  <c r="B116"/>
  <c r="G132"/>
  <c r="C132" s="1"/>
  <c r="B132"/>
  <c r="G148"/>
  <c r="C148" s="1"/>
  <c r="B148"/>
  <c r="G164"/>
  <c r="C164" s="1"/>
  <c r="B164"/>
  <c r="G180"/>
  <c r="C180" s="1"/>
  <c r="B180"/>
  <c r="G196"/>
  <c r="C196" s="1"/>
  <c r="B196"/>
  <c r="G212"/>
  <c r="C212" s="1"/>
  <c r="B212"/>
  <c r="G66"/>
  <c r="C66" s="1"/>
  <c r="B66"/>
  <c r="G130"/>
  <c r="C130" s="1"/>
  <c r="B130"/>
  <c r="G186"/>
  <c r="C186" s="1"/>
  <c r="B186"/>
  <c r="L177"/>
  <c r="K177" s="1"/>
  <c r="L178"/>
  <c r="K178" s="1"/>
  <c r="G72"/>
  <c r="C72" s="1"/>
  <c r="B72"/>
  <c r="G120"/>
  <c r="C120" s="1"/>
  <c r="B120"/>
  <c r="G168"/>
  <c r="C168" s="1"/>
  <c r="B168"/>
  <c r="G224"/>
  <c r="C224" s="1"/>
  <c r="B224"/>
  <c r="A95" i="1"/>
  <c r="B81"/>
  <c r="A49"/>
  <c r="G82" i="13"/>
  <c r="C82" s="1"/>
  <c r="B82"/>
  <c r="G138"/>
  <c r="C138" s="1"/>
  <c r="B138"/>
  <c r="G194"/>
  <c r="C194" s="1"/>
  <c r="B194"/>
  <c r="L65"/>
  <c r="K65" s="1"/>
  <c r="L66"/>
  <c r="K66" s="1"/>
  <c r="L81"/>
  <c r="K81" s="1"/>
  <c r="L82"/>
  <c r="K82" s="1"/>
  <c r="L105"/>
  <c r="K105" s="1"/>
  <c r="L106"/>
  <c r="K106" s="1"/>
  <c r="L145"/>
  <c r="K145" s="1"/>
  <c r="L146"/>
  <c r="K146" s="1"/>
  <c r="L194"/>
  <c r="K194" s="1"/>
  <c r="L193"/>
  <c r="K193" s="1"/>
  <c r="G48"/>
  <c r="C48" s="1"/>
  <c r="B48"/>
  <c r="L48" s="1"/>
  <c r="K48" s="1"/>
  <c r="G88"/>
  <c r="C88" s="1"/>
  <c r="B88"/>
  <c r="G160"/>
  <c r="C160" s="1"/>
  <c r="B160"/>
  <c r="G208"/>
  <c r="C208" s="1"/>
  <c r="B208"/>
  <c r="G30"/>
  <c r="C30" s="1"/>
  <c r="B30"/>
  <c r="G46"/>
  <c r="C46" s="1"/>
  <c r="B46"/>
  <c r="L46" s="1"/>
  <c r="K46" s="1"/>
  <c r="G62"/>
  <c r="C62" s="1"/>
  <c r="B62"/>
  <c r="G78"/>
  <c r="C78" s="1"/>
  <c r="B78"/>
  <c r="G94"/>
  <c r="C94" s="1"/>
  <c r="B94"/>
  <c r="G110"/>
  <c r="C110" s="1"/>
  <c r="B110"/>
  <c r="G126"/>
  <c r="C126" s="1"/>
  <c r="B126"/>
  <c r="G142"/>
  <c r="C142" s="1"/>
  <c r="B142"/>
  <c r="G158"/>
  <c r="C158" s="1"/>
  <c r="B158"/>
  <c r="G174"/>
  <c r="C174" s="1"/>
  <c r="B174"/>
  <c r="G190"/>
  <c r="C190" s="1"/>
  <c r="B190"/>
  <c r="G206"/>
  <c r="C206" s="1"/>
  <c r="B206"/>
  <c r="G222"/>
  <c r="C222" s="1"/>
  <c r="B222"/>
  <c r="G58"/>
  <c r="C58" s="1"/>
  <c r="B58"/>
  <c r="G90"/>
  <c r="C90" s="1"/>
  <c r="B90"/>
  <c r="G122"/>
  <c r="C122" s="1"/>
  <c r="B122"/>
  <c r="G162"/>
  <c r="C162" s="1"/>
  <c r="B162"/>
  <c r="G202"/>
  <c r="C202" s="1"/>
  <c r="B202"/>
  <c r="L97"/>
  <c r="K97" s="1"/>
  <c r="L98"/>
  <c r="K98" s="1"/>
  <c r="L129"/>
  <c r="K129" s="1"/>
  <c r="L130"/>
  <c r="K130" s="1"/>
  <c r="L153"/>
  <c r="K153" s="1"/>
  <c r="L154"/>
  <c r="K154" s="1"/>
  <c r="L186"/>
  <c r="K186" s="1"/>
  <c r="L185"/>
  <c r="K185" s="1"/>
  <c r="L209"/>
  <c r="K209" s="1"/>
  <c r="L210"/>
  <c r="K210" s="1"/>
  <c r="G56"/>
  <c r="C56" s="1"/>
  <c r="B56"/>
  <c r="G104"/>
  <c r="C104" s="1"/>
  <c r="B104"/>
  <c r="G136"/>
  <c r="C136" s="1"/>
  <c r="B136"/>
  <c r="G176"/>
  <c r="C176" s="1"/>
  <c r="B176"/>
  <c r="G216"/>
  <c r="C216" s="1"/>
  <c r="B216"/>
  <c r="L70"/>
  <c r="K70" s="1"/>
  <c r="L69"/>
  <c r="K69" s="1"/>
  <c r="L86"/>
  <c r="K86" s="1"/>
  <c r="L85"/>
  <c r="K85" s="1"/>
  <c r="L102"/>
  <c r="K102" s="1"/>
  <c r="L101"/>
  <c r="K101" s="1"/>
  <c r="L117"/>
  <c r="K117" s="1"/>
  <c r="L118"/>
  <c r="K118" s="1"/>
  <c r="L134"/>
  <c r="K134" s="1"/>
  <c r="L133"/>
  <c r="K133" s="1"/>
  <c r="L150"/>
  <c r="K150" s="1"/>
  <c r="L149"/>
  <c r="K149" s="1"/>
  <c r="L166"/>
  <c r="K166" s="1"/>
  <c r="L165"/>
  <c r="K165" s="1"/>
  <c r="L182"/>
  <c r="K182" s="1"/>
  <c r="L181"/>
  <c r="K181" s="1"/>
  <c r="L198"/>
  <c r="K198" s="1"/>
  <c r="L197"/>
  <c r="K197" s="1"/>
  <c r="L214"/>
  <c r="K214" s="1"/>
  <c r="L213"/>
  <c r="K213" s="1"/>
  <c r="G44"/>
  <c r="C44" s="1"/>
  <c r="B44"/>
  <c r="L44" s="1"/>
  <c r="K44" s="1"/>
  <c r="G60"/>
  <c r="C60" s="1"/>
  <c r="B60"/>
  <c r="G76"/>
  <c r="C76" s="1"/>
  <c r="B76"/>
  <c r="G92"/>
  <c r="C92" s="1"/>
  <c r="B92"/>
  <c r="G108"/>
  <c r="C108" s="1"/>
  <c r="B108"/>
  <c r="G124"/>
  <c r="C124" s="1"/>
  <c r="B124"/>
  <c r="G140"/>
  <c r="C140" s="1"/>
  <c r="B140"/>
  <c r="G156"/>
  <c r="C156" s="1"/>
  <c r="B156"/>
  <c r="G172"/>
  <c r="C172" s="1"/>
  <c r="B172"/>
  <c r="G188"/>
  <c r="C188" s="1"/>
  <c r="B188"/>
  <c r="G204"/>
  <c r="C204" s="1"/>
  <c r="B204"/>
  <c r="G220"/>
  <c r="C220" s="1"/>
  <c r="B220"/>
  <c r="G34"/>
  <c r="C34" s="1"/>
  <c r="B34"/>
  <c r="G98"/>
  <c r="C98" s="1"/>
  <c r="B98"/>
  <c r="G154"/>
  <c r="C154" s="1"/>
  <c r="B154"/>
  <c r="G210"/>
  <c r="C210" s="1"/>
  <c r="B210"/>
  <c r="G40"/>
  <c r="C40" s="1"/>
  <c r="B40"/>
  <c r="G96"/>
  <c r="C96" s="1"/>
  <c r="B96"/>
  <c r="G144"/>
  <c r="C144" s="1"/>
  <c r="B144"/>
  <c r="G200"/>
  <c r="C200" s="1"/>
  <c r="B200"/>
  <c r="J28" i="12"/>
  <c r="I28" s="1"/>
  <c r="J36"/>
  <c r="I36" s="1"/>
  <c r="J48"/>
  <c r="I48" s="1"/>
  <c r="J68"/>
  <c r="I68" s="1"/>
  <c r="J92"/>
  <c r="I92" s="1"/>
  <c r="L225" i="13"/>
  <c r="K225" s="1"/>
  <c r="L226"/>
  <c r="K226" s="1"/>
  <c r="G226"/>
  <c r="C226" s="1"/>
  <c r="B226"/>
  <c r="G50"/>
  <c r="C50" s="1"/>
  <c r="B50"/>
  <c r="L50" s="1"/>
  <c r="K50" s="1"/>
  <c r="G114"/>
  <c r="C114" s="1"/>
  <c r="B114"/>
  <c r="G170"/>
  <c r="C170" s="1"/>
  <c r="B170"/>
  <c r="L74"/>
  <c r="K74" s="1"/>
  <c r="L73"/>
  <c r="K73" s="1"/>
  <c r="L89"/>
  <c r="K89" s="1"/>
  <c r="L90"/>
  <c r="K90" s="1"/>
  <c r="L122"/>
  <c r="K122" s="1"/>
  <c r="L121"/>
  <c r="K121" s="1"/>
  <c r="L161"/>
  <c r="K161" s="1"/>
  <c r="L162"/>
  <c r="K162" s="1"/>
  <c r="L217"/>
  <c r="K217" s="1"/>
  <c r="L218"/>
  <c r="K218" s="1"/>
  <c r="G64"/>
  <c r="C64" s="1"/>
  <c r="B64"/>
  <c r="G128"/>
  <c r="C128" s="1"/>
  <c r="B128"/>
  <c r="G184"/>
  <c r="C184" s="1"/>
  <c r="B184"/>
  <c r="B65" i="1"/>
  <c r="A81"/>
  <c r="B6" i="8"/>
  <c r="D4" s="1"/>
  <c r="I4" s="1"/>
  <c r="H4" s="1"/>
  <c r="K3" i="13"/>
  <c r="D5" s="1"/>
  <c r="L5" s="1"/>
  <c r="K5" s="1"/>
  <c r="A83" i="1"/>
  <c r="A99"/>
  <c r="B41"/>
  <c r="B35"/>
  <c r="A55"/>
  <c r="A87"/>
  <c r="A109"/>
  <c r="A71"/>
  <c r="A103"/>
  <c r="G110" i="9"/>
  <c r="F110" s="1"/>
  <c r="B57" i="1"/>
  <c r="B89"/>
  <c r="B109"/>
  <c r="B39"/>
  <c r="B87"/>
  <c r="B71"/>
  <c r="B103"/>
  <c r="B176" i="10"/>
  <c r="L49"/>
  <c r="K49" s="1"/>
  <c r="B206"/>
  <c r="B198"/>
  <c r="B144"/>
  <c r="B90"/>
  <c r="B150"/>
  <c r="B118"/>
  <c r="B194"/>
  <c r="B92"/>
  <c r="B138"/>
  <c r="B166"/>
  <c r="B146"/>
  <c r="B142"/>
  <c r="D103" i="8"/>
  <c r="I103" s="1"/>
  <c r="H103" s="1"/>
  <c r="A14" i="1"/>
  <c r="B1"/>
  <c r="D214" i="8"/>
  <c r="B42" i="10"/>
  <c r="B110"/>
  <c r="B220"/>
  <c r="B100"/>
  <c r="B106"/>
  <c r="B160"/>
  <c r="B128"/>
  <c r="B222"/>
  <c r="D242" i="8"/>
  <c r="D299"/>
  <c r="D270"/>
  <c r="D467"/>
  <c r="D229"/>
  <c r="D256"/>
  <c r="D284"/>
  <c r="D312"/>
  <c r="D481"/>
  <c r="B116" i="10"/>
  <c r="B102"/>
  <c r="B162"/>
  <c r="B154"/>
  <c r="B134"/>
  <c r="B122"/>
  <c r="B174"/>
  <c r="B210"/>
  <c r="B190"/>
  <c r="B178"/>
  <c r="D348" i="8"/>
  <c r="B84" i="10"/>
  <c r="B108"/>
  <c r="J16" i="12"/>
  <c r="I16" s="1"/>
  <c r="D16"/>
  <c r="J24"/>
  <c r="I24" s="1"/>
  <c r="D24"/>
  <c r="J15"/>
  <c r="I15" s="1"/>
  <c r="D15"/>
  <c r="J17"/>
  <c r="I17" s="1"/>
  <c r="D17"/>
  <c r="J19"/>
  <c r="I19" s="1"/>
  <c r="D19"/>
  <c r="J21"/>
  <c r="I21" s="1"/>
  <c r="D21"/>
  <c r="J23"/>
  <c r="I23" s="1"/>
  <c r="D23"/>
  <c r="J25"/>
  <c r="I25" s="1"/>
  <c r="D25"/>
  <c r="J27"/>
  <c r="I27" s="1"/>
  <c r="D27"/>
  <c r="J29"/>
  <c r="I29" s="1"/>
  <c r="D29"/>
  <c r="J31"/>
  <c r="I31" s="1"/>
  <c r="D31"/>
  <c r="J33"/>
  <c r="I33" s="1"/>
  <c r="D33"/>
  <c r="J35"/>
  <c r="I35" s="1"/>
  <c r="D35"/>
  <c r="J37"/>
  <c r="I37" s="1"/>
  <c r="D37"/>
  <c r="J39"/>
  <c r="I39" s="1"/>
  <c r="D39"/>
  <c r="J41"/>
  <c r="I41" s="1"/>
  <c r="D41"/>
  <c r="J43"/>
  <c r="I43" s="1"/>
  <c r="D43"/>
  <c r="J45"/>
  <c r="I45" s="1"/>
  <c r="D45"/>
  <c r="J47"/>
  <c r="I47" s="1"/>
  <c r="D47"/>
  <c r="J49"/>
  <c r="I49" s="1"/>
  <c r="D49"/>
  <c r="J51"/>
  <c r="I51" s="1"/>
  <c r="D51"/>
  <c r="J53"/>
  <c r="I53" s="1"/>
  <c r="D53"/>
  <c r="J55"/>
  <c r="I55" s="1"/>
  <c r="D55"/>
  <c r="J57"/>
  <c r="I57" s="1"/>
  <c r="D57"/>
  <c r="J59"/>
  <c r="I59" s="1"/>
  <c r="D59"/>
  <c r="J61"/>
  <c r="I61" s="1"/>
  <c r="D61"/>
  <c r="J63"/>
  <c r="I63" s="1"/>
  <c r="D63"/>
  <c r="J65"/>
  <c r="I65" s="1"/>
  <c r="D65"/>
  <c r="J67"/>
  <c r="I67" s="1"/>
  <c r="D67"/>
  <c r="J69"/>
  <c r="I69" s="1"/>
  <c r="D69"/>
  <c r="J71"/>
  <c r="I71" s="1"/>
  <c r="D71"/>
  <c r="J73"/>
  <c r="I73" s="1"/>
  <c r="D73"/>
  <c r="J75"/>
  <c r="I75" s="1"/>
  <c r="D75"/>
  <c r="J77"/>
  <c r="I77" s="1"/>
  <c r="D77"/>
  <c r="J79"/>
  <c r="I79" s="1"/>
  <c r="D79"/>
  <c r="J81"/>
  <c r="I81" s="1"/>
  <c r="D81"/>
  <c r="J83"/>
  <c r="I83" s="1"/>
  <c r="D83"/>
  <c r="J85"/>
  <c r="I85" s="1"/>
  <c r="D85"/>
  <c r="J87"/>
  <c r="I87" s="1"/>
  <c r="D87"/>
  <c r="J89"/>
  <c r="I89" s="1"/>
  <c r="D89"/>
  <c r="J91"/>
  <c r="I91" s="1"/>
  <c r="D91"/>
  <c r="J93"/>
  <c r="I93" s="1"/>
  <c r="D93"/>
  <c r="J95"/>
  <c r="I95" s="1"/>
  <c r="D95"/>
  <c r="J97"/>
  <c r="I97" s="1"/>
  <c r="D97"/>
  <c r="J99"/>
  <c r="I99" s="1"/>
  <c r="D99"/>
  <c r="J101"/>
  <c r="I101" s="1"/>
  <c r="D101"/>
  <c r="J103"/>
  <c r="I103" s="1"/>
  <c r="D103"/>
  <c r="D105"/>
  <c r="J105"/>
  <c r="I105" s="1"/>
  <c r="J107"/>
  <c r="I107" s="1"/>
  <c r="D107"/>
  <c r="B46" i="10"/>
  <c r="L46" s="1"/>
  <c r="K46" s="1"/>
  <c r="B98"/>
  <c r="B82"/>
  <c r="B114"/>
  <c r="B170"/>
  <c r="B158"/>
  <c r="B130"/>
  <c r="B126"/>
  <c r="B218"/>
  <c r="B202"/>
  <c r="B186"/>
  <c r="J8" i="12"/>
  <c r="I8" s="1"/>
  <c r="J9"/>
  <c r="I9" s="1"/>
  <c r="D9"/>
  <c r="I9" i="8"/>
  <c r="H9" s="1"/>
  <c r="I6"/>
  <c r="H6" s="1"/>
  <c r="D8"/>
  <c r="I8" s="1"/>
  <c r="H8" s="1"/>
  <c r="D7"/>
  <c r="I7" s="1"/>
  <c r="H7" s="1"/>
  <c r="L21" i="10"/>
  <c r="K21" s="1"/>
  <c r="G22"/>
  <c r="C22" s="1"/>
  <c r="L22" s="1"/>
  <c r="K22" s="1"/>
  <c r="D2" i="11"/>
  <c r="B9"/>
  <c r="E8"/>
  <c r="H8" s="1"/>
  <c r="B14" i="1"/>
  <c r="A35"/>
  <c r="B34" i="10"/>
  <c r="L34" s="1"/>
  <c r="K34" s="1"/>
  <c r="B168"/>
  <c r="B152"/>
  <c r="B136"/>
  <c r="D417" i="8"/>
  <c r="L41" i="10"/>
  <c r="K41" s="1"/>
  <c r="L45"/>
  <c r="K45" s="1"/>
  <c r="B96"/>
  <c r="B88"/>
  <c r="B50"/>
  <c r="L50" s="1"/>
  <c r="K50" s="1"/>
  <c r="B26"/>
  <c r="L26" s="1"/>
  <c r="K26" s="1"/>
  <c r="B94"/>
  <c r="B86"/>
  <c r="B52"/>
  <c r="L52" s="1"/>
  <c r="K52" s="1"/>
  <c r="B112"/>
  <c r="B104"/>
  <c r="B172"/>
  <c r="B164"/>
  <c r="B156"/>
  <c r="B148"/>
  <c r="B140"/>
  <c r="B132"/>
  <c r="B124"/>
  <c r="B120"/>
  <c r="B216"/>
  <c r="B212"/>
  <c r="B208"/>
  <c r="B204"/>
  <c r="B200"/>
  <c r="B196"/>
  <c r="B192"/>
  <c r="B188"/>
  <c r="B184"/>
  <c r="B180"/>
  <c r="L42"/>
  <c r="K42" s="1"/>
  <c r="L47"/>
  <c r="K47" s="1"/>
  <c r="G39" i="1"/>
  <c r="L39" s="1"/>
  <c r="K39" s="1"/>
  <c r="G43"/>
  <c r="L43" s="1"/>
  <c r="K43" s="1"/>
  <c r="G49"/>
  <c r="L49"/>
  <c r="K49" s="1"/>
  <c r="G57"/>
  <c r="L57"/>
  <c r="K57" s="1"/>
  <c r="G65"/>
  <c r="L65"/>
  <c r="K65" s="1"/>
  <c r="L51" i="10"/>
  <c r="K51" s="1"/>
  <c r="G47" i="1"/>
  <c r="L47" s="1"/>
  <c r="K47" s="1"/>
  <c r="G51"/>
  <c r="L51" s="1"/>
  <c r="K51" s="1"/>
  <c r="G55"/>
  <c r="L55" s="1"/>
  <c r="K55" s="1"/>
  <c r="G59"/>
  <c r="L59" s="1"/>
  <c r="K59" s="1"/>
  <c r="G63"/>
  <c r="L63" s="1"/>
  <c r="K63" s="1"/>
  <c r="G67"/>
  <c r="L67" s="1"/>
  <c r="K67" s="1"/>
  <c r="L25" i="10"/>
  <c r="K25" s="1"/>
  <c r="B44"/>
  <c r="L44" s="1"/>
  <c r="K44" s="1"/>
  <c r="L23"/>
  <c r="K23" s="1"/>
  <c r="D75" i="8"/>
  <c r="I75" s="1"/>
  <c r="H75" s="1"/>
  <c r="D375"/>
  <c r="D628"/>
  <c r="D89"/>
  <c r="I89" s="1"/>
  <c r="H89" s="1"/>
  <c r="D361"/>
  <c r="D389"/>
  <c r="D445"/>
  <c r="D691"/>
  <c r="L27" i="10"/>
  <c r="K27" s="1"/>
  <c r="D117" i="8"/>
  <c r="D341"/>
  <c r="D159"/>
  <c r="D131"/>
  <c r="D186"/>
  <c r="D551"/>
  <c r="D123"/>
  <c r="B30" i="10"/>
  <c r="L30" s="1"/>
  <c r="K30" s="1"/>
  <c r="D396" i="8"/>
  <c r="B40" i="10"/>
  <c r="L40" s="1"/>
  <c r="K40" s="1"/>
  <c r="D607" i="8"/>
  <c r="D600"/>
  <c r="B32" i="10"/>
  <c r="L32" s="1"/>
  <c r="K32" s="1"/>
  <c r="D635" i="8"/>
  <c r="D579"/>
  <c r="D523"/>
  <c r="D144"/>
  <c r="D173"/>
  <c r="D201"/>
  <c r="B36" i="10"/>
  <c r="L36" s="1"/>
  <c r="K36" s="1"/>
  <c r="B28"/>
  <c r="L28" s="1"/>
  <c r="K28" s="1"/>
  <c r="L29"/>
  <c r="K29" s="1"/>
  <c r="L35"/>
  <c r="K35" s="1"/>
  <c r="D495" i="8"/>
  <c r="D488"/>
  <c r="D32"/>
  <c r="I32" s="1"/>
  <c r="H32" s="1"/>
  <c r="B80" i="10"/>
  <c r="D677" i="8"/>
  <c r="D452"/>
  <c r="B72" i="10"/>
  <c r="B70"/>
  <c r="B48"/>
  <c r="L48" s="1"/>
  <c r="K48" s="1"/>
  <c r="D649" i="8"/>
  <c r="D621"/>
  <c r="D593"/>
  <c r="D565"/>
  <c r="D537"/>
  <c r="D509"/>
  <c r="D369"/>
  <c r="D424"/>
  <c r="B76" i="10"/>
  <c r="B58"/>
  <c r="B78"/>
  <c r="B60"/>
  <c r="L33"/>
  <c r="K33" s="1"/>
  <c r="D61" i="8"/>
  <c r="I61" s="1"/>
  <c r="H61" s="1"/>
  <c r="D60"/>
  <c r="I60" s="1"/>
  <c r="H60" s="1"/>
  <c r="I215"/>
  <c r="H215" s="1"/>
  <c r="I219"/>
  <c r="H219" s="1"/>
  <c r="I216"/>
  <c r="H216" s="1"/>
  <c r="I214"/>
  <c r="H214" s="1"/>
  <c r="L85" i="10"/>
  <c r="K85" s="1"/>
  <c r="L86"/>
  <c r="K86" s="1"/>
  <c r="I243" i="8"/>
  <c r="H243" s="1"/>
  <c r="I247"/>
  <c r="H247" s="1"/>
  <c r="I244"/>
  <c r="H244" s="1"/>
  <c r="I242"/>
  <c r="H242" s="1"/>
  <c r="L93" i="10"/>
  <c r="K93" s="1"/>
  <c r="L94"/>
  <c r="K94" s="1"/>
  <c r="I270" i="8"/>
  <c r="H270" s="1"/>
  <c r="I271"/>
  <c r="H271" s="1"/>
  <c r="I272"/>
  <c r="H272" s="1"/>
  <c r="I275"/>
  <c r="H275" s="1"/>
  <c r="L101" i="10"/>
  <c r="K101" s="1"/>
  <c r="L102"/>
  <c r="K102" s="1"/>
  <c r="I298" i="8"/>
  <c r="H298" s="1"/>
  <c r="I299"/>
  <c r="H299" s="1"/>
  <c r="I303"/>
  <c r="H303" s="1"/>
  <c r="I300"/>
  <c r="H300" s="1"/>
  <c r="L109" i="10"/>
  <c r="K109" s="1"/>
  <c r="L110"/>
  <c r="K110" s="1"/>
  <c r="I326" i="8"/>
  <c r="H326" s="1"/>
  <c r="I328"/>
  <c r="H328" s="1"/>
  <c r="I331"/>
  <c r="H331" s="1"/>
  <c r="L117" i="10"/>
  <c r="K117" s="1"/>
  <c r="L118"/>
  <c r="K118" s="1"/>
  <c r="I354" i="8"/>
  <c r="H354" s="1"/>
  <c r="I359"/>
  <c r="H359" s="1"/>
  <c r="I356"/>
  <c r="H356" s="1"/>
  <c r="I368"/>
  <c r="H368" s="1"/>
  <c r="I370"/>
  <c r="H370" s="1"/>
  <c r="I373"/>
  <c r="H373" s="1"/>
  <c r="I369"/>
  <c r="H369" s="1"/>
  <c r="L129" i="10"/>
  <c r="K129" s="1"/>
  <c r="L130"/>
  <c r="K130" s="1"/>
  <c r="I396" i="8"/>
  <c r="H396" s="1"/>
  <c r="I398"/>
  <c r="H398" s="1"/>
  <c r="I401"/>
  <c r="H401" s="1"/>
  <c r="I397"/>
  <c r="H397" s="1"/>
  <c r="L137" i="10"/>
  <c r="K137" s="1"/>
  <c r="L138"/>
  <c r="K138" s="1"/>
  <c r="I424" i="8"/>
  <c r="H424" s="1"/>
  <c r="I428"/>
  <c r="H428" s="1"/>
  <c r="I427"/>
  <c r="H427" s="1"/>
  <c r="I426"/>
  <c r="H426" s="1"/>
  <c r="I429"/>
  <c r="H429" s="1"/>
  <c r="I425"/>
  <c r="H425" s="1"/>
  <c r="L145" i="10"/>
  <c r="K145" s="1"/>
  <c r="L146"/>
  <c r="K146" s="1"/>
  <c r="I452" i="8"/>
  <c r="H452" s="1"/>
  <c r="I456"/>
  <c r="H456" s="1"/>
  <c r="I455"/>
  <c r="H455" s="1"/>
  <c r="I454"/>
  <c r="H454" s="1"/>
  <c r="I457"/>
  <c r="H457" s="1"/>
  <c r="I453"/>
  <c r="H453" s="1"/>
  <c r="L153" i="10"/>
  <c r="K153" s="1"/>
  <c r="L154"/>
  <c r="K154" s="1"/>
  <c r="I480" i="8"/>
  <c r="H480" s="1"/>
  <c r="I484"/>
  <c r="H484" s="1"/>
  <c r="I483"/>
  <c r="H483" s="1"/>
  <c r="I482"/>
  <c r="H482" s="1"/>
  <c r="I485"/>
  <c r="H485" s="1"/>
  <c r="I481"/>
  <c r="H481" s="1"/>
  <c r="L161" i="10"/>
  <c r="K161" s="1"/>
  <c r="L162"/>
  <c r="K162" s="1"/>
  <c r="I508" i="8"/>
  <c r="H508" s="1"/>
  <c r="I512"/>
  <c r="H512" s="1"/>
  <c r="I511"/>
  <c r="H511" s="1"/>
  <c r="I510"/>
  <c r="H510" s="1"/>
  <c r="I513"/>
  <c r="H513" s="1"/>
  <c r="I509"/>
  <c r="H509" s="1"/>
  <c r="L169" i="10"/>
  <c r="K169" s="1"/>
  <c r="L170"/>
  <c r="K170" s="1"/>
  <c r="I538" i="8"/>
  <c r="H538" s="1"/>
  <c r="I537"/>
  <c r="H537" s="1"/>
  <c r="I541"/>
  <c r="H541" s="1"/>
  <c r="I540"/>
  <c r="H540" s="1"/>
  <c r="I536"/>
  <c r="H536" s="1"/>
  <c r="I539"/>
  <c r="H539" s="1"/>
  <c r="L177" i="10"/>
  <c r="K177" s="1"/>
  <c r="L178"/>
  <c r="K178" s="1"/>
  <c r="I564" i="8"/>
  <c r="H564" s="1"/>
  <c r="I568"/>
  <c r="H568" s="1"/>
  <c r="I567"/>
  <c r="H567" s="1"/>
  <c r="I566"/>
  <c r="H566" s="1"/>
  <c r="I569"/>
  <c r="H569" s="1"/>
  <c r="I565"/>
  <c r="H565" s="1"/>
  <c r="L185" i="10"/>
  <c r="K185" s="1"/>
  <c r="L186"/>
  <c r="K186" s="1"/>
  <c r="I594" i="8"/>
  <c r="H594" s="1"/>
  <c r="I593"/>
  <c r="H593" s="1"/>
  <c r="I597"/>
  <c r="H597" s="1"/>
  <c r="I596"/>
  <c r="H596" s="1"/>
  <c r="I592"/>
  <c r="H592" s="1"/>
  <c r="I595"/>
  <c r="H595" s="1"/>
  <c r="L193" i="10"/>
  <c r="K193" s="1"/>
  <c r="L194"/>
  <c r="K194" s="1"/>
  <c r="I621" i="8"/>
  <c r="H621" s="1"/>
  <c r="I625"/>
  <c r="H625" s="1"/>
  <c r="I624"/>
  <c r="H624" s="1"/>
  <c r="I620"/>
  <c r="H620" s="1"/>
  <c r="I622"/>
  <c r="H622" s="1"/>
  <c r="I623"/>
  <c r="H623" s="1"/>
  <c r="L201" i="10"/>
  <c r="K201" s="1"/>
  <c r="L202"/>
  <c r="K202" s="1"/>
  <c r="I649" i="8"/>
  <c r="H649" s="1"/>
  <c r="I653"/>
  <c r="H653" s="1"/>
  <c r="I652"/>
  <c r="H652" s="1"/>
  <c r="I648"/>
  <c r="H648" s="1"/>
  <c r="I650"/>
  <c r="H650" s="1"/>
  <c r="I651"/>
  <c r="H651" s="1"/>
  <c r="L209" i="10"/>
  <c r="K209" s="1"/>
  <c r="L210"/>
  <c r="K210" s="1"/>
  <c r="I677" i="8"/>
  <c r="H677" s="1"/>
  <c r="I681"/>
  <c r="H681" s="1"/>
  <c r="I680"/>
  <c r="H680" s="1"/>
  <c r="I676"/>
  <c r="H676" s="1"/>
  <c r="I678"/>
  <c r="H678" s="1"/>
  <c r="I679"/>
  <c r="H679" s="1"/>
  <c r="L217" i="10"/>
  <c r="K217" s="1"/>
  <c r="L218"/>
  <c r="K218" s="1"/>
  <c r="G28" i="1"/>
  <c r="L28" s="1"/>
  <c r="K28" s="1"/>
  <c r="B28"/>
  <c r="G44"/>
  <c r="L44" s="1"/>
  <c r="K44" s="1"/>
  <c r="A44"/>
  <c r="D239" i="8"/>
  <c r="D238"/>
  <c r="G48" i="1"/>
  <c r="L48" s="1"/>
  <c r="K48" s="1"/>
  <c r="A48"/>
  <c r="D267" i="8"/>
  <c r="D266"/>
  <c r="G52" i="1"/>
  <c r="L52" s="1"/>
  <c r="K52" s="1"/>
  <c r="A52"/>
  <c r="D295" i="8"/>
  <c r="D294"/>
  <c r="G56" i="1"/>
  <c r="L56" s="1"/>
  <c r="K56" s="1"/>
  <c r="A56"/>
  <c r="D323" i="8"/>
  <c r="D322"/>
  <c r="G60" i="1"/>
  <c r="L60" s="1"/>
  <c r="K60" s="1"/>
  <c r="A60"/>
  <c r="D351" i="8"/>
  <c r="D350"/>
  <c r="D365"/>
  <c r="I365" s="1"/>
  <c r="H365" s="1"/>
  <c r="D364"/>
  <c r="D393"/>
  <c r="D392"/>
  <c r="D420"/>
  <c r="D421"/>
  <c r="D448"/>
  <c r="D449"/>
  <c r="D477"/>
  <c r="D476"/>
  <c r="D505"/>
  <c r="D504"/>
  <c r="D533"/>
  <c r="D532"/>
  <c r="G92" i="1"/>
  <c r="A92"/>
  <c r="D575" i="8"/>
  <c r="D574"/>
  <c r="D589"/>
  <c r="D588"/>
  <c r="D603"/>
  <c r="D602"/>
  <c r="D616"/>
  <c r="D617"/>
  <c r="D631"/>
  <c r="D630"/>
  <c r="D645"/>
  <c r="D644"/>
  <c r="D659"/>
  <c r="D658"/>
  <c r="D673"/>
  <c r="D672"/>
  <c r="D687"/>
  <c r="D686"/>
  <c r="G112" i="1"/>
  <c r="B112"/>
  <c r="A112"/>
  <c r="I251" i="8"/>
  <c r="H251" s="1"/>
  <c r="I254"/>
  <c r="H254" s="1"/>
  <c r="I249"/>
  <c r="H249" s="1"/>
  <c r="L91" i="10"/>
  <c r="K91" s="1"/>
  <c r="L92"/>
  <c r="K92" s="1"/>
  <c r="I305" i="8"/>
  <c r="H305" s="1"/>
  <c r="I310"/>
  <c r="H310" s="1"/>
  <c r="I307"/>
  <c r="H307" s="1"/>
  <c r="L107" i="10"/>
  <c r="K107" s="1"/>
  <c r="L108"/>
  <c r="K108" s="1"/>
  <c r="I364" i="8"/>
  <c r="H364" s="1"/>
  <c r="I361"/>
  <c r="H361" s="1"/>
  <c r="I366"/>
  <c r="H366" s="1"/>
  <c r="I363"/>
  <c r="H363" s="1"/>
  <c r="I362"/>
  <c r="H362" s="1"/>
  <c r="L131" i="10"/>
  <c r="K131" s="1"/>
  <c r="L132"/>
  <c r="K132" s="1"/>
  <c r="I420" i="8"/>
  <c r="H420" s="1"/>
  <c r="I417"/>
  <c r="H417" s="1"/>
  <c r="I421"/>
  <c r="H421" s="1"/>
  <c r="I422"/>
  <c r="H422" s="1"/>
  <c r="I419"/>
  <c r="H419" s="1"/>
  <c r="I418"/>
  <c r="H418" s="1"/>
  <c r="L147" i="10"/>
  <c r="K147" s="1"/>
  <c r="L148"/>
  <c r="K148" s="1"/>
  <c r="I476" i="8"/>
  <c r="H476" s="1"/>
  <c r="I473"/>
  <c r="H473" s="1"/>
  <c r="I477"/>
  <c r="H477" s="1"/>
  <c r="I478"/>
  <c r="H478" s="1"/>
  <c r="I474"/>
  <c r="H474" s="1"/>
  <c r="I475"/>
  <c r="H475" s="1"/>
  <c r="L163" i="10"/>
  <c r="K163" s="1"/>
  <c r="L164"/>
  <c r="K164" s="1"/>
  <c r="I530" i="8"/>
  <c r="H530" s="1"/>
  <c r="I534"/>
  <c r="H534" s="1"/>
  <c r="I531"/>
  <c r="H531" s="1"/>
  <c r="I532"/>
  <c r="H532" s="1"/>
  <c r="I533"/>
  <c r="H533" s="1"/>
  <c r="I529"/>
  <c r="H529" s="1"/>
  <c r="L179" i="10"/>
  <c r="K179" s="1"/>
  <c r="L180"/>
  <c r="K180" s="1"/>
  <c r="I586" i="8"/>
  <c r="H586" s="1"/>
  <c r="I590"/>
  <c r="H590" s="1"/>
  <c r="I587"/>
  <c r="H587" s="1"/>
  <c r="I588"/>
  <c r="H588" s="1"/>
  <c r="I589"/>
  <c r="H589" s="1"/>
  <c r="I585"/>
  <c r="H585" s="1"/>
  <c r="L195" i="10"/>
  <c r="K195" s="1"/>
  <c r="L196"/>
  <c r="K196" s="1"/>
  <c r="L203"/>
  <c r="K203" s="1"/>
  <c r="L204"/>
  <c r="K204" s="1"/>
  <c r="L211"/>
  <c r="K211" s="1"/>
  <c r="L212"/>
  <c r="K212" s="1"/>
  <c r="L219"/>
  <c r="K219" s="1"/>
  <c r="L220"/>
  <c r="K220" s="1"/>
  <c r="L221"/>
  <c r="K221" s="1"/>
  <c r="L222"/>
  <c r="K222" s="1"/>
  <c r="D106" i="8"/>
  <c r="I106" s="1"/>
  <c r="H106" s="1"/>
  <c r="D105"/>
  <c r="I105" s="1"/>
  <c r="H105" s="1"/>
  <c r="G27" i="1"/>
  <c r="L27" s="1"/>
  <c r="K27" s="1"/>
  <c r="B27"/>
  <c r="G31"/>
  <c r="L31" s="1"/>
  <c r="K31" s="1"/>
  <c r="B31"/>
  <c r="D218" i="8"/>
  <c r="I218" s="1"/>
  <c r="H218" s="1"/>
  <c r="D217"/>
  <c r="I217" s="1"/>
  <c r="H217" s="1"/>
  <c r="D232"/>
  <c r="D231"/>
  <c r="G45" i="1"/>
  <c r="L45" s="1"/>
  <c r="K45" s="1"/>
  <c r="B45"/>
  <c r="D260" i="8"/>
  <c r="D259"/>
  <c r="D288"/>
  <c r="D287"/>
  <c r="G53" i="1"/>
  <c r="L53" s="1"/>
  <c r="K53" s="1"/>
  <c r="B53"/>
  <c r="D316" i="8"/>
  <c r="D315"/>
  <c r="D344"/>
  <c r="D343"/>
  <c r="G61" i="1"/>
  <c r="L61" s="1"/>
  <c r="K61" s="1"/>
  <c r="B61"/>
  <c r="D372" i="8"/>
  <c r="I372" s="1"/>
  <c r="H372" s="1"/>
  <c r="D371"/>
  <c r="I371" s="1"/>
  <c r="H371" s="1"/>
  <c r="D400"/>
  <c r="I400" s="1"/>
  <c r="H400" s="1"/>
  <c r="D399"/>
  <c r="I399" s="1"/>
  <c r="H399" s="1"/>
  <c r="G69" i="1"/>
  <c r="L69" s="1"/>
  <c r="K69" s="1"/>
  <c r="B69"/>
  <c r="D428" i="8"/>
  <c r="D427"/>
  <c r="D456"/>
  <c r="D455"/>
  <c r="G77" i="1"/>
  <c r="B77"/>
  <c r="D483" i="8"/>
  <c r="D484"/>
  <c r="D498"/>
  <c r="D497"/>
  <c r="D526"/>
  <c r="D525"/>
  <c r="D554"/>
  <c r="D553"/>
  <c r="D582"/>
  <c r="D581"/>
  <c r="D610"/>
  <c r="D609"/>
  <c r="D638"/>
  <c r="D637"/>
  <c r="D666"/>
  <c r="D665"/>
  <c r="G107" i="1"/>
  <c r="A107"/>
  <c r="D694" i="8"/>
  <c r="D693"/>
  <c r="G111" i="1"/>
  <c r="A111"/>
  <c r="I111" i="8"/>
  <c r="H111" s="1"/>
  <c r="I114"/>
  <c r="H114" s="1"/>
  <c r="I268"/>
  <c r="H268" s="1"/>
  <c r="I266"/>
  <c r="H266" s="1"/>
  <c r="I265"/>
  <c r="H265" s="1"/>
  <c r="I267"/>
  <c r="H267" s="1"/>
  <c r="L95" i="10"/>
  <c r="K95" s="1"/>
  <c r="L96"/>
  <c r="K96" s="1"/>
  <c r="I324" i="8"/>
  <c r="H324" s="1"/>
  <c r="I321"/>
  <c r="H321" s="1"/>
  <c r="I319"/>
  <c r="H319" s="1"/>
  <c r="I322"/>
  <c r="H322" s="1"/>
  <c r="I323"/>
  <c r="H323" s="1"/>
  <c r="L111" i="10"/>
  <c r="K111" s="1"/>
  <c r="L112"/>
  <c r="K112" s="1"/>
  <c r="I376" i="8"/>
  <c r="H376" s="1"/>
  <c r="I380"/>
  <c r="H380" s="1"/>
  <c r="I377"/>
  <c r="H377" s="1"/>
  <c r="I375"/>
  <c r="H375" s="1"/>
  <c r="L135" i="10"/>
  <c r="K135" s="1"/>
  <c r="L136"/>
  <c r="K136" s="1"/>
  <c r="I432" i="8"/>
  <c r="H432" s="1"/>
  <c r="I436"/>
  <c r="H436" s="1"/>
  <c r="I433"/>
  <c r="H433" s="1"/>
  <c r="I431"/>
  <c r="H431" s="1"/>
  <c r="I434"/>
  <c r="H434" s="1"/>
  <c r="I435"/>
  <c r="H435" s="1"/>
  <c r="L151" i="10"/>
  <c r="K151" s="1"/>
  <c r="L152"/>
  <c r="K152" s="1"/>
  <c r="I488" i="8"/>
  <c r="H488" s="1"/>
  <c r="I492"/>
  <c r="H492" s="1"/>
  <c r="I489"/>
  <c r="H489" s="1"/>
  <c r="I487"/>
  <c r="H487" s="1"/>
  <c r="I491"/>
  <c r="H491" s="1"/>
  <c r="I490"/>
  <c r="H490" s="1"/>
  <c r="L167" i="10"/>
  <c r="K167" s="1"/>
  <c r="L168"/>
  <c r="K168" s="1"/>
  <c r="I546" i="8"/>
  <c r="H546" s="1"/>
  <c r="I543"/>
  <c r="H543" s="1"/>
  <c r="I547"/>
  <c r="H547" s="1"/>
  <c r="I544"/>
  <c r="H544" s="1"/>
  <c r="I545"/>
  <c r="H545" s="1"/>
  <c r="I548"/>
  <c r="H548" s="1"/>
  <c r="L183" i="10"/>
  <c r="K183" s="1"/>
  <c r="L184"/>
  <c r="K184" s="1"/>
  <c r="I602" i="8"/>
  <c r="H602" s="1"/>
  <c r="I599"/>
  <c r="H599" s="1"/>
  <c r="I603"/>
  <c r="H603" s="1"/>
  <c r="I600"/>
  <c r="H600" s="1"/>
  <c r="I601"/>
  <c r="H601" s="1"/>
  <c r="I604"/>
  <c r="H604" s="1"/>
  <c r="L199" i="10"/>
  <c r="K199" s="1"/>
  <c r="L200"/>
  <c r="K200" s="1"/>
  <c r="L207"/>
  <c r="K207" s="1"/>
  <c r="L208"/>
  <c r="K208" s="1"/>
  <c r="L215"/>
  <c r="K215" s="1"/>
  <c r="L216"/>
  <c r="K216" s="1"/>
  <c r="I104" i="8"/>
  <c r="H104" s="1"/>
  <c r="I107"/>
  <c r="H107" s="1"/>
  <c r="L81" i="10"/>
  <c r="K81" s="1"/>
  <c r="L82"/>
  <c r="K82" s="1"/>
  <c r="I229" i="8"/>
  <c r="H229" s="1"/>
  <c r="I233"/>
  <c r="H233" s="1"/>
  <c r="I230"/>
  <c r="H230" s="1"/>
  <c r="I231"/>
  <c r="H231" s="1"/>
  <c r="I232"/>
  <c r="H232" s="1"/>
  <c r="I228"/>
  <c r="H228" s="1"/>
  <c r="L89" i="10"/>
  <c r="K89" s="1"/>
  <c r="L90"/>
  <c r="K90" s="1"/>
  <c r="I257" i="8"/>
  <c r="H257" s="1"/>
  <c r="I261"/>
  <c r="H261" s="1"/>
  <c r="I258"/>
  <c r="H258" s="1"/>
  <c r="I259"/>
  <c r="H259" s="1"/>
  <c r="I260"/>
  <c r="H260" s="1"/>
  <c r="I256"/>
  <c r="H256" s="1"/>
  <c r="L97" i="10"/>
  <c r="K97" s="1"/>
  <c r="L98"/>
  <c r="K98" s="1"/>
  <c r="I284" i="8"/>
  <c r="H284" s="1"/>
  <c r="I288"/>
  <c r="H288" s="1"/>
  <c r="I287"/>
  <c r="H287" s="1"/>
  <c r="I286"/>
  <c r="H286" s="1"/>
  <c r="I289"/>
  <c r="H289" s="1"/>
  <c r="I285"/>
  <c r="H285" s="1"/>
  <c r="L105" i="10"/>
  <c r="K105" s="1"/>
  <c r="L106"/>
  <c r="K106" s="1"/>
  <c r="I312" i="8"/>
  <c r="H312" s="1"/>
  <c r="I316"/>
  <c r="H316" s="1"/>
  <c r="I315"/>
  <c r="H315" s="1"/>
  <c r="I314"/>
  <c r="H314" s="1"/>
  <c r="I317"/>
  <c r="H317" s="1"/>
  <c r="I313"/>
  <c r="H313" s="1"/>
  <c r="L113" i="10"/>
  <c r="K113" s="1"/>
  <c r="L114"/>
  <c r="K114" s="1"/>
  <c r="I340" i="8"/>
  <c r="H340" s="1"/>
  <c r="I344"/>
  <c r="H344" s="1"/>
  <c r="I343"/>
  <c r="H343" s="1"/>
  <c r="I342"/>
  <c r="H342" s="1"/>
  <c r="I345"/>
  <c r="H345" s="1"/>
  <c r="I341"/>
  <c r="H341" s="1"/>
  <c r="L121" i="10"/>
  <c r="K121" s="1"/>
  <c r="L122"/>
  <c r="K122" s="1"/>
  <c r="L125"/>
  <c r="K125" s="1"/>
  <c r="L126"/>
  <c r="K126" s="1"/>
  <c r="I382" i="8"/>
  <c r="H382" s="1"/>
  <c r="I384"/>
  <c r="H384" s="1"/>
  <c r="I387"/>
  <c r="H387" s="1"/>
  <c r="L133" i="10"/>
  <c r="K133" s="1"/>
  <c r="L134"/>
  <c r="K134" s="1"/>
  <c r="I410" i="8"/>
  <c r="H410" s="1"/>
  <c r="I414"/>
  <c r="H414" s="1"/>
  <c r="I413"/>
  <c r="H413" s="1"/>
  <c r="I411"/>
  <c r="H411" s="1"/>
  <c r="I415"/>
  <c r="H415" s="1"/>
  <c r="I412"/>
  <c r="H412" s="1"/>
  <c r="L141" i="10"/>
  <c r="K141" s="1"/>
  <c r="L142"/>
  <c r="K142" s="1"/>
  <c r="I438" i="8"/>
  <c r="H438" s="1"/>
  <c r="I442"/>
  <c r="H442" s="1"/>
  <c r="I441"/>
  <c r="H441" s="1"/>
  <c r="I439"/>
  <c r="H439" s="1"/>
  <c r="I440"/>
  <c r="H440" s="1"/>
  <c r="I443"/>
  <c r="H443" s="1"/>
  <c r="L149" i="10"/>
  <c r="K149" s="1"/>
  <c r="L150"/>
  <c r="K150" s="1"/>
  <c r="I466" i="8"/>
  <c r="H466" s="1"/>
  <c r="I470"/>
  <c r="H470" s="1"/>
  <c r="I469"/>
  <c r="H469" s="1"/>
  <c r="I467"/>
  <c r="H467" s="1"/>
  <c r="I471"/>
  <c r="H471" s="1"/>
  <c r="I468"/>
  <c r="H468" s="1"/>
  <c r="L157" i="10"/>
  <c r="K157" s="1"/>
  <c r="L158"/>
  <c r="K158" s="1"/>
  <c r="I494" i="8"/>
  <c r="H494" s="1"/>
  <c r="I498"/>
  <c r="H498" s="1"/>
  <c r="I497"/>
  <c r="H497" s="1"/>
  <c r="I495"/>
  <c r="H495" s="1"/>
  <c r="I496"/>
  <c r="H496" s="1"/>
  <c r="I499"/>
  <c r="H499" s="1"/>
  <c r="L165" i="10"/>
  <c r="K165" s="1"/>
  <c r="L166"/>
  <c r="K166" s="1"/>
  <c r="I522" i="8"/>
  <c r="H522" s="1"/>
  <c r="I526"/>
  <c r="H526" s="1"/>
  <c r="I525"/>
  <c r="H525" s="1"/>
  <c r="I523"/>
  <c r="H523" s="1"/>
  <c r="I527"/>
  <c r="H527" s="1"/>
  <c r="I524"/>
  <c r="H524" s="1"/>
  <c r="L173" i="10"/>
  <c r="K173" s="1"/>
  <c r="L174"/>
  <c r="K174" s="1"/>
  <c r="I552" i="8"/>
  <c r="H552" s="1"/>
  <c r="I551"/>
  <c r="H551" s="1"/>
  <c r="I555"/>
  <c r="H555" s="1"/>
  <c r="I550"/>
  <c r="H550" s="1"/>
  <c r="I553"/>
  <c r="H553" s="1"/>
  <c r="I554"/>
  <c r="H554" s="1"/>
  <c r="L181" i="10"/>
  <c r="K181" s="1"/>
  <c r="L182"/>
  <c r="K182" s="1"/>
  <c r="I578" i="8"/>
  <c r="H578" s="1"/>
  <c r="I582"/>
  <c r="H582" s="1"/>
  <c r="I581"/>
  <c r="H581" s="1"/>
  <c r="I579"/>
  <c r="H579" s="1"/>
  <c r="I583"/>
  <c r="H583" s="1"/>
  <c r="I580"/>
  <c r="H580" s="1"/>
  <c r="L189" i="10"/>
  <c r="K189" s="1"/>
  <c r="L190"/>
  <c r="K190" s="1"/>
  <c r="I607" i="8"/>
  <c r="H607" s="1"/>
  <c r="I611"/>
  <c r="H611" s="1"/>
  <c r="I608"/>
  <c r="H608" s="1"/>
  <c r="I609"/>
  <c r="H609" s="1"/>
  <c r="I606"/>
  <c r="H606" s="1"/>
  <c r="I610"/>
  <c r="H610" s="1"/>
  <c r="L197" i="10"/>
  <c r="K197" s="1"/>
  <c r="L198"/>
  <c r="K198" s="1"/>
  <c r="I635" i="8"/>
  <c r="H635" s="1"/>
  <c r="I639"/>
  <c r="H639" s="1"/>
  <c r="I636"/>
  <c r="H636" s="1"/>
  <c r="I634"/>
  <c r="H634" s="1"/>
  <c r="I637"/>
  <c r="H637" s="1"/>
  <c r="I638"/>
  <c r="H638" s="1"/>
  <c r="L205" i="10"/>
  <c r="K205" s="1"/>
  <c r="L206"/>
  <c r="K206" s="1"/>
  <c r="I663" i="8"/>
  <c r="H663" s="1"/>
  <c r="I667"/>
  <c r="H667" s="1"/>
  <c r="I664"/>
  <c r="H664" s="1"/>
  <c r="I662"/>
  <c r="H662" s="1"/>
  <c r="I665"/>
  <c r="H665" s="1"/>
  <c r="I666"/>
  <c r="H666" s="1"/>
  <c r="L213" i="10"/>
  <c r="K213" s="1"/>
  <c r="L214"/>
  <c r="K214" s="1"/>
  <c r="I691" i="8"/>
  <c r="H691" s="1"/>
  <c r="I695"/>
  <c r="H695" s="1"/>
  <c r="I692"/>
  <c r="H692" s="1"/>
  <c r="I690"/>
  <c r="H690" s="1"/>
  <c r="I693"/>
  <c r="H693" s="1"/>
  <c r="I694"/>
  <c r="H694" s="1"/>
  <c r="D113"/>
  <c r="I113" s="1"/>
  <c r="H113" s="1"/>
  <c r="D112"/>
  <c r="I112" s="1"/>
  <c r="H112" s="1"/>
  <c r="G30" i="1"/>
  <c r="L30" s="1"/>
  <c r="K30" s="1"/>
  <c r="B30"/>
  <c r="G32"/>
  <c r="L32" s="1"/>
  <c r="K32" s="1"/>
  <c r="B32"/>
  <c r="G34"/>
  <c r="L34" s="1"/>
  <c r="K34" s="1"/>
  <c r="A34"/>
  <c r="G36"/>
  <c r="L36" s="1"/>
  <c r="K36" s="1"/>
  <c r="A36"/>
  <c r="G38"/>
  <c r="L38" s="1"/>
  <c r="K38" s="1"/>
  <c r="A38"/>
  <c r="G40"/>
  <c r="L40" s="1"/>
  <c r="K40" s="1"/>
  <c r="A40"/>
  <c r="G42"/>
  <c r="L42" s="1"/>
  <c r="K42" s="1"/>
  <c r="A42"/>
  <c r="D225" i="8"/>
  <c r="I225" s="1"/>
  <c r="H225" s="1"/>
  <c r="D224"/>
  <c r="G46" i="1"/>
  <c r="L46" s="1"/>
  <c r="K46" s="1"/>
  <c r="A46"/>
  <c r="D253" i="8"/>
  <c r="I253" s="1"/>
  <c r="H253" s="1"/>
  <c r="D252"/>
  <c r="I252" s="1"/>
  <c r="H252" s="1"/>
  <c r="G50" i="1"/>
  <c r="L50" s="1"/>
  <c r="K50" s="1"/>
  <c r="A50"/>
  <c r="D281" i="8"/>
  <c r="I281" s="1"/>
  <c r="H281" s="1"/>
  <c r="D280"/>
  <c r="G54" i="1"/>
  <c r="L54" s="1"/>
  <c r="K54" s="1"/>
  <c r="A54"/>
  <c r="D309" i="8"/>
  <c r="I309" s="1"/>
  <c r="H309" s="1"/>
  <c r="D308"/>
  <c r="I308" s="1"/>
  <c r="H308" s="1"/>
  <c r="G58" i="1"/>
  <c r="L58" s="1"/>
  <c r="K58" s="1"/>
  <c r="A58"/>
  <c r="D337" i="8"/>
  <c r="D336"/>
  <c r="G62" i="1"/>
  <c r="L62" s="1"/>
  <c r="K62" s="1"/>
  <c r="A62"/>
  <c r="G64"/>
  <c r="L64" s="1"/>
  <c r="K64" s="1"/>
  <c r="A64"/>
  <c r="D379" i="8"/>
  <c r="I379" s="1"/>
  <c r="H379" s="1"/>
  <c r="D378"/>
  <c r="I378" s="1"/>
  <c r="H378" s="1"/>
  <c r="G66" i="1"/>
  <c r="L66" s="1"/>
  <c r="K66" s="1"/>
  <c r="A66"/>
  <c r="G68"/>
  <c r="L68" s="1"/>
  <c r="K68" s="1"/>
  <c r="A68"/>
  <c r="D406" i="8"/>
  <c r="D407"/>
  <c r="G70" i="1"/>
  <c r="L70" s="1"/>
  <c r="K70" s="1"/>
  <c r="A70"/>
  <c r="G72"/>
  <c r="A72"/>
  <c r="D434" i="8"/>
  <c r="D435"/>
  <c r="G74" i="1"/>
  <c r="A74"/>
  <c r="G76"/>
  <c r="A76"/>
  <c r="D463" i="8"/>
  <c r="D462"/>
  <c r="G78" i="1"/>
  <c r="A78"/>
  <c r="G80"/>
  <c r="A80"/>
  <c r="D491" i="8"/>
  <c r="D490"/>
  <c r="G82" i="1"/>
  <c r="A82"/>
  <c r="G84"/>
  <c r="A84"/>
  <c r="D519" i="8"/>
  <c r="D518"/>
  <c r="G86" i="1"/>
  <c r="A86"/>
  <c r="G88"/>
  <c r="A88"/>
  <c r="D547" i="8"/>
  <c r="D546"/>
  <c r="G90" i="1"/>
  <c r="A90"/>
  <c r="D561" i="8"/>
  <c r="D560"/>
  <c r="G94" i="1"/>
  <c r="A94"/>
  <c r="G96"/>
  <c r="A96"/>
  <c r="G98"/>
  <c r="A98"/>
  <c r="G100"/>
  <c r="A100"/>
  <c r="G102"/>
  <c r="A102"/>
  <c r="G104"/>
  <c r="A104"/>
  <c r="G106"/>
  <c r="B106"/>
  <c r="A106"/>
  <c r="G108"/>
  <c r="B108"/>
  <c r="A108"/>
  <c r="G110"/>
  <c r="B110"/>
  <c r="A110"/>
  <c r="D701" i="8"/>
  <c r="D700"/>
  <c r="I223"/>
  <c r="H223" s="1"/>
  <c r="I226"/>
  <c r="H226" s="1"/>
  <c r="I224"/>
  <c r="H224" s="1"/>
  <c r="L83" i="10"/>
  <c r="K83" s="1"/>
  <c r="L84"/>
  <c r="K84" s="1"/>
  <c r="I280" i="8"/>
  <c r="H280" s="1"/>
  <c r="I277"/>
  <c r="H277" s="1"/>
  <c r="I282"/>
  <c r="H282" s="1"/>
  <c r="I279"/>
  <c r="H279" s="1"/>
  <c r="L99" i="10"/>
  <c r="K99" s="1"/>
  <c r="L100"/>
  <c r="K100" s="1"/>
  <c r="I336" i="8"/>
  <c r="H336" s="1"/>
  <c r="I333"/>
  <c r="H333" s="1"/>
  <c r="I337"/>
  <c r="H337" s="1"/>
  <c r="I338"/>
  <c r="H338" s="1"/>
  <c r="I335"/>
  <c r="H335" s="1"/>
  <c r="L115" i="10"/>
  <c r="K115" s="1"/>
  <c r="L116"/>
  <c r="K116" s="1"/>
  <c r="L123"/>
  <c r="K123" s="1"/>
  <c r="L124"/>
  <c r="K124" s="1"/>
  <c r="I392" i="8"/>
  <c r="H392" s="1"/>
  <c r="I389"/>
  <c r="H389" s="1"/>
  <c r="I393"/>
  <c r="H393" s="1"/>
  <c r="I394"/>
  <c r="H394" s="1"/>
  <c r="I391"/>
  <c r="H391" s="1"/>
  <c r="I390"/>
  <c r="H390" s="1"/>
  <c r="L139" i="10"/>
  <c r="K139" s="1"/>
  <c r="L140"/>
  <c r="K140" s="1"/>
  <c r="I448" i="8"/>
  <c r="H448" s="1"/>
  <c r="I445"/>
  <c r="H445" s="1"/>
  <c r="I449"/>
  <c r="H449" s="1"/>
  <c r="I450"/>
  <c r="H450" s="1"/>
  <c r="I447"/>
  <c r="H447" s="1"/>
  <c r="I446"/>
  <c r="H446" s="1"/>
  <c r="L155" i="10"/>
  <c r="K155" s="1"/>
  <c r="L156"/>
  <c r="K156" s="1"/>
  <c r="I502" i="8"/>
  <c r="H502" s="1"/>
  <c r="I506"/>
  <c r="H506" s="1"/>
  <c r="I503"/>
  <c r="H503" s="1"/>
  <c r="I504"/>
  <c r="H504" s="1"/>
  <c r="I505"/>
  <c r="H505" s="1"/>
  <c r="I501"/>
  <c r="H501" s="1"/>
  <c r="L171" i="10"/>
  <c r="K171" s="1"/>
  <c r="L172"/>
  <c r="K172" s="1"/>
  <c r="I558" i="8"/>
  <c r="H558" s="1"/>
  <c r="I562"/>
  <c r="H562" s="1"/>
  <c r="I559"/>
  <c r="H559" s="1"/>
  <c r="I560"/>
  <c r="H560" s="1"/>
  <c r="I561"/>
  <c r="H561" s="1"/>
  <c r="I557"/>
  <c r="H557" s="1"/>
  <c r="L187" i="10"/>
  <c r="K187" s="1"/>
  <c r="L188"/>
  <c r="K188" s="1"/>
  <c r="I615" i="8"/>
  <c r="H615" s="1"/>
  <c r="I616"/>
  <c r="H616" s="1"/>
  <c r="I613"/>
  <c r="H613" s="1"/>
  <c r="I618"/>
  <c r="H618" s="1"/>
  <c r="I617"/>
  <c r="H617" s="1"/>
  <c r="I614"/>
  <c r="H614" s="1"/>
  <c r="I643"/>
  <c r="H643" s="1"/>
  <c r="I644"/>
  <c r="H644" s="1"/>
  <c r="I641"/>
  <c r="H641" s="1"/>
  <c r="I646"/>
  <c r="H646" s="1"/>
  <c r="I645"/>
  <c r="H645" s="1"/>
  <c r="I642"/>
  <c r="H642" s="1"/>
  <c r="I671"/>
  <c r="H671" s="1"/>
  <c r="I672"/>
  <c r="H672" s="1"/>
  <c r="I669"/>
  <c r="H669" s="1"/>
  <c r="I674"/>
  <c r="H674" s="1"/>
  <c r="I673"/>
  <c r="H673" s="1"/>
  <c r="I670"/>
  <c r="H670" s="1"/>
  <c r="I699"/>
  <c r="H699" s="1"/>
  <c r="I700"/>
  <c r="H700" s="1"/>
  <c r="I697"/>
  <c r="H697" s="1"/>
  <c r="I702"/>
  <c r="H702" s="1"/>
  <c r="I701"/>
  <c r="H701" s="1"/>
  <c r="I698"/>
  <c r="H698" s="1"/>
  <c r="I235"/>
  <c r="H235" s="1"/>
  <c r="I239"/>
  <c r="H239" s="1"/>
  <c r="I238"/>
  <c r="H238" s="1"/>
  <c r="I237"/>
  <c r="H237" s="1"/>
  <c r="I240"/>
  <c r="H240" s="1"/>
  <c r="L87" i="10"/>
  <c r="K87" s="1"/>
  <c r="L88"/>
  <c r="K88" s="1"/>
  <c r="I296" i="8"/>
  <c r="H296" s="1"/>
  <c r="I293"/>
  <c r="H293" s="1"/>
  <c r="I291"/>
  <c r="H291" s="1"/>
  <c r="I294"/>
  <c r="H294" s="1"/>
  <c r="I295"/>
  <c r="H295" s="1"/>
  <c r="L103" i="10"/>
  <c r="K103" s="1"/>
  <c r="L104"/>
  <c r="K104" s="1"/>
  <c r="I348" i="8"/>
  <c r="H348" s="1"/>
  <c r="I352"/>
  <c r="H352" s="1"/>
  <c r="I349"/>
  <c r="H349" s="1"/>
  <c r="I347"/>
  <c r="H347" s="1"/>
  <c r="I350"/>
  <c r="H350" s="1"/>
  <c r="I351"/>
  <c r="H351" s="1"/>
  <c r="L119" i="10"/>
  <c r="K119" s="1"/>
  <c r="L120"/>
  <c r="K120" s="1"/>
  <c r="L127"/>
  <c r="K127" s="1"/>
  <c r="L128"/>
  <c r="K128" s="1"/>
  <c r="I408" i="8"/>
  <c r="H408" s="1"/>
  <c r="I405"/>
  <c r="H405" s="1"/>
  <c r="I403"/>
  <c r="H403" s="1"/>
  <c r="I406"/>
  <c r="H406" s="1"/>
  <c r="I407"/>
  <c r="H407" s="1"/>
  <c r="L143" i="10"/>
  <c r="K143" s="1"/>
  <c r="L144"/>
  <c r="K144" s="1"/>
  <c r="I462" i="8"/>
  <c r="H462" s="1"/>
  <c r="I459"/>
  <c r="H459" s="1"/>
  <c r="I463"/>
  <c r="H463" s="1"/>
  <c r="I460"/>
  <c r="H460" s="1"/>
  <c r="I461"/>
  <c r="H461" s="1"/>
  <c r="I464"/>
  <c r="H464" s="1"/>
  <c r="L159" i="10"/>
  <c r="K159" s="1"/>
  <c r="L160"/>
  <c r="K160" s="1"/>
  <c r="I518" i="8"/>
  <c r="H518" s="1"/>
  <c r="I515"/>
  <c r="H515" s="1"/>
  <c r="I519"/>
  <c r="H519" s="1"/>
  <c r="I516"/>
  <c r="H516" s="1"/>
  <c r="I517"/>
  <c r="H517" s="1"/>
  <c r="I520"/>
  <c r="H520" s="1"/>
  <c r="L175" i="10"/>
  <c r="K175" s="1"/>
  <c r="L176"/>
  <c r="K176" s="1"/>
  <c r="I574" i="8"/>
  <c r="H574" s="1"/>
  <c r="I571"/>
  <c r="H571" s="1"/>
  <c r="I575"/>
  <c r="H575" s="1"/>
  <c r="I572"/>
  <c r="H572" s="1"/>
  <c r="I573"/>
  <c r="H573" s="1"/>
  <c r="I576"/>
  <c r="H576" s="1"/>
  <c r="L191" i="10"/>
  <c r="K191" s="1"/>
  <c r="L192"/>
  <c r="K192" s="1"/>
  <c r="I629" i="8"/>
  <c r="H629" s="1"/>
  <c r="I632"/>
  <c r="H632" s="1"/>
  <c r="I628"/>
  <c r="H628" s="1"/>
  <c r="I627"/>
  <c r="H627" s="1"/>
  <c r="I631"/>
  <c r="H631" s="1"/>
  <c r="I630"/>
  <c r="H630" s="1"/>
  <c r="I657"/>
  <c r="H657" s="1"/>
  <c r="I660"/>
  <c r="H660" s="1"/>
  <c r="I656"/>
  <c r="H656" s="1"/>
  <c r="I655"/>
  <c r="H655" s="1"/>
  <c r="I659"/>
  <c r="H659" s="1"/>
  <c r="I658"/>
  <c r="H658" s="1"/>
  <c r="I685"/>
  <c r="H685" s="1"/>
  <c r="I688"/>
  <c r="H688" s="1"/>
  <c r="I684"/>
  <c r="H684" s="1"/>
  <c r="I683"/>
  <c r="H683" s="1"/>
  <c r="I687"/>
  <c r="H687" s="1"/>
  <c r="I686"/>
  <c r="H686" s="1"/>
  <c r="G29" i="1"/>
  <c r="L29" s="1"/>
  <c r="K29" s="1"/>
  <c r="A29"/>
  <c r="G33"/>
  <c r="L33" s="1"/>
  <c r="K33" s="1"/>
  <c r="A33"/>
  <c r="G37"/>
  <c r="L37" s="1"/>
  <c r="K37" s="1"/>
  <c r="B37"/>
  <c r="D246" i="8"/>
  <c r="I246" s="1"/>
  <c r="H246" s="1"/>
  <c r="D245"/>
  <c r="I245" s="1"/>
  <c r="H245" s="1"/>
  <c r="D274"/>
  <c r="I274" s="1"/>
  <c r="H274" s="1"/>
  <c r="D273"/>
  <c r="I273" s="1"/>
  <c r="H273" s="1"/>
  <c r="D302"/>
  <c r="I302" s="1"/>
  <c r="H302" s="1"/>
  <c r="D301"/>
  <c r="I301" s="1"/>
  <c r="H301" s="1"/>
  <c r="D330"/>
  <c r="I330" s="1"/>
  <c r="H330" s="1"/>
  <c r="D329"/>
  <c r="I329" s="1"/>
  <c r="H329" s="1"/>
  <c r="D358"/>
  <c r="I358" s="1"/>
  <c r="H358" s="1"/>
  <c r="D357"/>
  <c r="I357" s="1"/>
  <c r="H357" s="1"/>
  <c r="D386"/>
  <c r="I386" s="1"/>
  <c r="H386" s="1"/>
  <c r="D385"/>
  <c r="I385" s="1"/>
  <c r="H385" s="1"/>
  <c r="D414"/>
  <c r="D413"/>
  <c r="D442"/>
  <c r="D441"/>
  <c r="D470"/>
  <c r="D469"/>
  <c r="D512"/>
  <c r="D511"/>
  <c r="G85" i="1"/>
  <c r="B85"/>
  <c r="D540" i="8"/>
  <c r="D539"/>
  <c r="D568"/>
  <c r="D567"/>
  <c r="G93" i="1"/>
  <c r="B93"/>
  <c r="D596" i="8"/>
  <c r="D595"/>
  <c r="D624"/>
  <c r="D623"/>
  <c r="G101" i="1"/>
  <c r="B101"/>
  <c r="D652" i="8"/>
  <c r="D651"/>
  <c r="D680"/>
  <c r="D679"/>
  <c r="D18"/>
  <c r="I18" s="1"/>
  <c r="H18" s="1"/>
  <c r="D410"/>
  <c r="B54" i="10"/>
  <c r="B24"/>
  <c r="L24" s="1"/>
  <c r="K24" s="1"/>
  <c r="D642" i="8"/>
  <c r="L39" i="10"/>
  <c r="K39" s="1"/>
  <c r="D544" i="8"/>
  <c r="D292"/>
  <c r="I292" s="1"/>
  <c r="H292" s="1"/>
  <c r="D11"/>
  <c r="I11" s="1"/>
  <c r="H11" s="1"/>
  <c r="D698"/>
  <c r="D236"/>
  <c r="I236" s="1"/>
  <c r="H236" s="1"/>
  <c r="L43" i="10"/>
  <c r="K43" s="1"/>
  <c r="L31"/>
  <c r="K31" s="1"/>
  <c r="D572" i="8"/>
  <c r="D516"/>
  <c r="D460"/>
  <c r="D670"/>
  <c r="D320"/>
  <c r="I320" s="1"/>
  <c r="H320" s="1"/>
  <c r="D179"/>
  <c r="I179" s="1"/>
  <c r="H179" s="1"/>
  <c r="D383"/>
  <c r="I383" s="1"/>
  <c r="H383" s="1"/>
  <c r="D355"/>
  <c r="I355" s="1"/>
  <c r="H355" s="1"/>
  <c r="D327"/>
  <c r="I327" s="1"/>
  <c r="H327" s="1"/>
  <c r="D194"/>
  <c r="I194" s="1"/>
  <c r="H194" s="1"/>
  <c r="I20"/>
  <c r="H20" s="1"/>
  <c r="I23"/>
  <c r="H23" s="1"/>
  <c r="I37"/>
  <c r="H37" s="1"/>
  <c r="I34"/>
  <c r="H34" s="1"/>
  <c r="I48"/>
  <c r="H48" s="1"/>
  <c r="I51"/>
  <c r="H51" s="1"/>
  <c r="I76"/>
  <c r="H76" s="1"/>
  <c r="I79"/>
  <c r="H79" s="1"/>
  <c r="I93"/>
  <c r="H93" s="1"/>
  <c r="I90"/>
  <c r="H90" s="1"/>
  <c r="D14"/>
  <c r="I14" s="1"/>
  <c r="H14" s="1"/>
  <c r="D15"/>
  <c r="I15" s="1"/>
  <c r="H15" s="1"/>
  <c r="D85"/>
  <c r="I85" s="1"/>
  <c r="H85" s="1"/>
  <c r="D84"/>
  <c r="I84" s="1"/>
  <c r="H84" s="1"/>
  <c r="D99"/>
  <c r="I99" s="1"/>
  <c r="H99" s="1"/>
  <c r="D98"/>
  <c r="I98" s="1"/>
  <c r="H98" s="1"/>
  <c r="G23" i="1"/>
  <c r="L23" s="1"/>
  <c r="K23" s="1"/>
  <c r="B23"/>
  <c r="G25"/>
  <c r="L25" s="1"/>
  <c r="K25" s="1"/>
  <c r="B25"/>
  <c r="A25"/>
  <c r="D28" i="8"/>
  <c r="I28" s="1"/>
  <c r="H28" s="1"/>
  <c r="D29"/>
  <c r="I29" s="1"/>
  <c r="H29" s="1"/>
  <c r="G16" i="1"/>
  <c r="L16" s="1"/>
  <c r="K16" s="1"/>
  <c r="B16"/>
  <c r="D42" i="8"/>
  <c r="I42" s="1"/>
  <c r="H42" s="1"/>
  <c r="D43"/>
  <c r="I43" s="1"/>
  <c r="H43" s="1"/>
  <c r="G18" i="1"/>
  <c r="L18" s="1"/>
  <c r="K18" s="1"/>
  <c r="B18"/>
  <c r="D56" i="8"/>
  <c r="I56" s="1"/>
  <c r="H56" s="1"/>
  <c r="D57"/>
  <c r="I57" s="1"/>
  <c r="H57" s="1"/>
  <c r="G20" i="1"/>
  <c r="L20" s="1"/>
  <c r="K20" s="1"/>
  <c r="B20"/>
  <c r="D70" i="8"/>
  <c r="I70" s="1"/>
  <c r="H70" s="1"/>
  <c r="D71"/>
  <c r="I71" s="1"/>
  <c r="H71" s="1"/>
  <c r="G22" i="1"/>
  <c r="L22" s="1"/>
  <c r="K22" s="1"/>
  <c r="B22"/>
  <c r="G24"/>
  <c r="L24" s="1"/>
  <c r="K24" s="1"/>
  <c r="B24"/>
  <c r="G26"/>
  <c r="L26" s="1"/>
  <c r="K26" s="1"/>
  <c r="B26"/>
  <c r="I16" i="8"/>
  <c r="H16" s="1"/>
  <c r="I13"/>
  <c r="H13" s="1"/>
  <c r="I27"/>
  <c r="H27" s="1"/>
  <c r="I30"/>
  <c r="H30" s="1"/>
  <c r="I44"/>
  <c r="H44" s="1"/>
  <c r="I41"/>
  <c r="H41" s="1"/>
  <c r="I55"/>
  <c r="H55" s="1"/>
  <c r="I58"/>
  <c r="H58" s="1"/>
  <c r="I72"/>
  <c r="H72" s="1"/>
  <c r="I69"/>
  <c r="H69" s="1"/>
  <c r="I83"/>
  <c r="H83" s="1"/>
  <c r="I86"/>
  <c r="H86" s="1"/>
  <c r="I100"/>
  <c r="H100" s="1"/>
  <c r="I97"/>
  <c r="H97" s="1"/>
  <c r="D21"/>
  <c r="I21" s="1"/>
  <c r="H21" s="1"/>
  <c r="D22"/>
  <c r="I22" s="1"/>
  <c r="H22" s="1"/>
  <c r="G15" i="1"/>
  <c r="L15" s="1"/>
  <c r="K15" s="1"/>
  <c r="A15"/>
  <c r="B15"/>
  <c r="D35" i="8"/>
  <c r="I35" s="1"/>
  <c r="H35" s="1"/>
  <c r="D36"/>
  <c r="I36" s="1"/>
  <c r="H36" s="1"/>
  <c r="G17" i="1"/>
  <c r="L17" s="1"/>
  <c r="K17" s="1"/>
  <c r="A17"/>
  <c r="D49" i="8"/>
  <c r="I49" s="1"/>
  <c r="H49" s="1"/>
  <c r="D50"/>
  <c r="I50" s="1"/>
  <c r="H50" s="1"/>
  <c r="G19" i="1"/>
  <c r="L19" s="1"/>
  <c r="K19" s="1"/>
  <c r="B19"/>
  <c r="G21"/>
  <c r="L21" s="1"/>
  <c r="K21" s="1"/>
  <c r="A21"/>
  <c r="B21"/>
  <c r="D78" i="8"/>
  <c r="I78" s="1"/>
  <c r="H78" s="1"/>
  <c r="D77"/>
  <c r="I77" s="1"/>
  <c r="H77" s="1"/>
  <c r="D92"/>
  <c r="I92" s="1"/>
  <c r="H92" s="1"/>
  <c r="D91"/>
  <c r="I91" s="1"/>
  <c r="H91" s="1"/>
  <c r="B62" i="10"/>
  <c r="L62" s="1"/>
  <c r="K62" s="1"/>
  <c r="B38"/>
  <c r="L38" s="1"/>
  <c r="K38" s="1"/>
  <c r="B74"/>
  <c r="L74" s="1"/>
  <c r="K74" s="1"/>
  <c r="B64"/>
  <c r="L64" s="1"/>
  <c r="K64" s="1"/>
  <c r="B56"/>
  <c r="L56" s="1"/>
  <c r="K56" s="1"/>
  <c r="B66"/>
  <c r="L66" s="1"/>
  <c r="K66" s="1"/>
  <c r="B68"/>
  <c r="L68" s="1"/>
  <c r="K68" s="1"/>
  <c r="L37"/>
  <c r="K37" s="1"/>
  <c r="L55"/>
  <c r="K55" s="1"/>
  <c r="L63"/>
  <c r="K63" s="1"/>
  <c r="L72"/>
  <c r="K72" s="1"/>
  <c r="L71"/>
  <c r="K71" s="1"/>
  <c r="L79"/>
  <c r="K79" s="1"/>
  <c r="L80"/>
  <c r="K80" s="1"/>
  <c r="L58"/>
  <c r="K58" s="1"/>
  <c r="L57"/>
  <c r="K57" s="1"/>
  <c r="L61"/>
  <c r="K61" s="1"/>
  <c r="L65"/>
  <c r="K65" s="1"/>
  <c r="L70"/>
  <c r="K70" s="1"/>
  <c r="L69"/>
  <c r="K69" s="1"/>
  <c r="L73"/>
  <c r="K73" s="1"/>
  <c r="L77"/>
  <c r="K77" s="1"/>
  <c r="L78"/>
  <c r="K78" s="1"/>
  <c r="L60"/>
  <c r="K60" s="1"/>
  <c r="L59"/>
  <c r="K59" s="1"/>
  <c r="L67"/>
  <c r="K67" s="1"/>
  <c r="L75"/>
  <c r="K75" s="1"/>
  <c r="L76"/>
  <c r="K76" s="1"/>
  <c r="L54"/>
  <c r="K54" s="1"/>
  <c r="L53"/>
  <c r="K53" s="1"/>
  <c r="I88" i="8"/>
  <c r="H88" s="1"/>
  <c r="I19"/>
  <c r="H19" s="1"/>
  <c r="I47"/>
  <c r="H47" s="1"/>
  <c r="I142"/>
  <c r="H142" s="1"/>
  <c r="I139"/>
  <c r="H139" s="1"/>
  <c r="I137"/>
  <c r="H137" s="1"/>
  <c r="I170"/>
  <c r="H170" s="1"/>
  <c r="I167"/>
  <c r="H167" s="1"/>
  <c r="I193"/>
  <c r="H193" s="1"/>
  <c r="I195"/>
  <c r="H195" s="1"/>
  <c r="I198"/>
  <c r="H198" s="1"/>
  <c r="I116"/>
  <c r="H116" s="1"/>
  <c r="I118"/>
  <c r="H118" s="1"/>
  <c r="I117"/>
  <c r="H117" s="1"/>
  <c r="I121"/>
  <c r="H121" s="1"/>
  <c r="I74"/>
  <c r="H74" s="1"/>
  <c r="I102"/>
  <c r="H102" s="1"/>
  <c r="I26"/>
  <c r="H26" s="1"/>
  <c r="I81"/>
  <c r="H81" s="1"/>
  <c r="D431"/>
  <c r="D614"/>
  <c r="D586"/>
  <c r="D558"/>
  <c r="D530"/>
  <c r="D502"/>
  <c r="D474"/>
  <c r="D334"/>
  <c r="I334" s="1"/>
  <c r="H334" s="1"/>
  <c r="D306"/>
  <c r="I306" s="1"/>
  <c r="H306" s="1"/>
  <c r="D250"/>
  <c r="I250" s="1"/>
  <c r="H250" s="1"/>
  <c r="D46"/>
  <c r="D663"/>
  <c r="D438"/>
  <c r="I12"/>
  <c r="H12" s="1"/>
  <c r="I40"/>
  <c r="H40" s="1"/>
  <c r="I33"/>
  <c r="H33" s="1"/>
  <c r="I62"/>
  <c r="H62" s="1"/>
  <c r="I65"/>
  <c r="H65" s="1"/>
  <c r="I124"/>
  <c r="H124" s="1"/>
  <c r="I128"/>
  <c r="H128" s="1"/>
  <c r="I123"/>
  <c r="H123" s="1"/>
  <c r="I125"/>
  <c r="H125" s="1"/>
  <c r="I156"/>
  <c r="H156" s="1"/>
  <c r="I153"/>
  <c r="H153" s="1"/>
  <c r="I181"/>
  <c r="H181" s="1"/>
  <c r="I180"/>
  <c r="H180" s="1"/>
  <c r="I184"/>
  <c r="H184" s="1"/>
  <c r="I209"/>
  <c r="H209" s="1"/>
  <c r="I212"/>
  <c r="H212" s="1"/>
  <c r="I130"/>
  <c r="H130" s="1"/>
  <c r="I132"/>
  <c r="H132" s="1"/>
  <c r="I131"/>
  <c r="H131" s="1"/>
  <c r="I135"/>
  <c r="H135" s="1"/>
  <c r="I144"/>
  <c r="H144" s="1"/>
  <c r="I146"/>
  <c r="H146" s="1"/>
  <c r="I145"/>
  <c r="H145" s="1"/>
  <c r="I149"/>
  <c r="H149" s="1"/>
  <c r="I158"/>
  <c r="H158" s="1"/>
  <c r="I160"/>
  <c r="H160" s="1"/>
  <c r="I159"/>
  <c r="H159" s="1"/>
  <c r="I163"/>
  <c r="H163" s="1"/>
  <c r="I172"/>
  <c r="H172" s="1"/>
  <c r="I174"/>
  <c r="H174" s="1"/>
  <c r="I173"/>
  <c r="H173" s="1"/>
  <c r="I177"/>
  <c r="H177" s="1"/>
  <c r="I187"/>
  <c r="H187" s="1"/>
  <c r="I191"/>
  <c r="H191" s="1"/>
  <c r="I186"/>
  <c r="H186" s="1"/>
  <c r="I188"/>
  <c r="H188" s="1"/>
  <c r="I201"/>
  <c r="H201" s="1"/>
  <c r="I205"/>
  <c r="H205" s="1"/>
  <c r="I200"/>
  <c r="H200" s="1"/>
  <c r="I202"/>
  <c r="H202" s="1"/>
  <c r="D138"/>
  <c r="D82"/>
  <c r="D25"/>
  <c r="D119"/>
  <c r="D120"/>
  <c r="D169"/>
  <c r="D168"/>
  <c r="I168" s="1"/>
  <c r="H168" s="1"/>
  <c r="D134"/>
  <c r="I134" s="1"/>
  <c r="H134" s="1"/>
  <c r="D133"/>
  <c r="D147"/>
  <c r="I147" s="1"/>
  <c r="H147" s="1"/>
  <c r="D148"/>
  <c r="D162"/>
  <c r="I162" s="1"/>
  <c r="H162" s="1"/>
  <c r="D161"/>
  <c r="D175"/>
  <c r="I175" s="1"/>
  <c r="H175" s="1"/>
  <c r="D176"/>
  <c r="D190"/>
  <c r="I190" s="1"/>
  <c r="H190" s="1"/>
  <c r="D189"/>
  <c r="D204"/>
  <c r="I204" s="1"/>
  <c r="H204" s="1"/>
  <c r="D203"/>
  <c r="D127"/>
  <c r="D126"/>
  <c r="I126" s="1"/>
  <c r="H126" s="1"/>
  <c r="D141"/>
  <c r="D140"/>
  <c r="I140" s="1"/>
  <c r="H140" s="1"/>
  <c r="D155"/>
  <c r="D154"/>
  <c r="I154" s="1"/>
  <c r="H154" s="1"/>
  <c r="D183"/>
  <c r="D182"/>
  <c r="D197"/>
  <c r="D196"/>
  <c r="D211"/>
  <c r="D210"/>
  <c r="D64"/>
  <c r="I64" s="1"/>
  <c r="H64" s="1"/>
  <c r="D63"/>
  <c r="I63" s="1"/>
  <c r="H63" s="1"/>
  <c r="D68"/>
  <c r="D67"/>
  <c r="D95"/>
  <c r="D96"/>
  <c r="D152"/>
  <c r="D151"/>
  <c r="I151" s="1"/>
  <c r="H151" s="1"/>
  <c r="D207"/>
  <c r="D208"/>
  <c r="I208" s="1"/>
  <c r="H208" s="1"/>
  <c r="D263"/>
  <c r="I263" s="1"/>
  <c r="H263" s="1"/>
  <c r="D264"/>
  <c r="I264" s="1"/>
  <c r="H264" s="1"/>
  <c r="D39"/>
  <c r="D54"/>
  <c r="D53"/>
  <c r="D109"/>
  <c r="D110"/>
  <c r="D165"/>
  <c r="D166"/>
  <c r="D221"/>
  <c r="I221" s="1"/>
  <c r="H221" s="1"/>
  <c r="D222"/>
  <c r="I222" s="1"/>
  <c r="H222" s="1"/>
  <c r="D404"/>
  <c r="I404" s="1"/>
  <c r="H404" s="1"/>
  <c r="D684"/>
  <c r="D656"/>
  <c r="D278"/>
  <c r="I278" s="1"/>
  <c r="H278" s="1"/>
  <c r="L40" i="13" l="1"/>
  <c r="K40" s="1"/>
  <c r="L30"/>
  <c r="K30" s="1"/>
  <c r="L34"/>
  <c r="K34" s="1"/>
  <c r="L36"/>
  <c r="K36" s="1"/>
  <c r="L32"/>
  <c r="K32" s="1"/>
  <c r="L38"/>
  <c r="K38" s="1"/>
  <c r="L26"/>
  <c r="K26" s="1"/>
  <c r="D5" i="8"/>
  <c r="I5" s="1"/>
  <c r="H5" s="1"/>
  <c r="D7" i="12"/>
  <c r="E7" s="1"/>
  <c r="J7" s="1"/>
  <c r="I7" s="1"/>
  <c r="D9" i="11"/>
  <c r="H9" s="1"/>
  <c r="H2"/>
  <c r="B5" i="1"/>
  <c r="B9"/>
  <c r="I110" i="8"/>
  <c r="H110" s="1"/>
  <c r="I53"/>
  <c r="H53" s="1"/>
  <c r="I39"/>
  <c r="H39" s="1"/>
  <c r="I95"/>
  <c r="H95" s="1"/>
  <c r="I68"/>
  <c r="H68" s="1"/>
  <c r="I82"/>
  <c r="H82" s="1"/>
  <c r="I203"/>
  <c r="H203" s="1"/>
  <c r="I189"/>
  <c r="H189" s="1"/>
  <c r="I161"/>
  <c r="H161" s="1"/>
  <c r="I133"/>
  <c r="H133" s="1"/>
  <c r="I119"/>
  <c r="H119" s="1"/>
  <c r="I169"/>
  <c r="H169" s="1"/>
  <c r="I141"/>
  <c r="H141" s="1"/>
  <c r="I109"/>
  <c r="H109" s="1"/>
  <c r="I54"/>
  <c r="H54" s="1"/>
  <c r="I96"/>
  <c r="H96" s="1"/>
  <c r="I67"/>
  <c r="H67" s="1"/>
  <c r="I25"/>
  <c r="H25" s="1"/>
  <c r="I176"/>
  <c r="H176" s="1"/>
  <c r="I148"/>
  <c r="H148" s="1"/>
  <c r="I210"/>
  <c r="H210" s="1"/>
  <c r="I211"/>
  <c r="H211" s="1"/>
  <c r="I207"/>
  <c r="H207" s="1"/>
  <c r="I182"/>
  <c r="H182" s="1"/>
  <c r="I183"/>
  <c r="H183" s="1"/>
  <c r="I155"/>
  <c r="H155" s="1"/>
  <c r="I152"/>
  <c r="H152" s="1"/>
  <c r="I127"/>
  <c r="H127" s="1"/>
  <c r="I46"/>
  <c r="H46" s="1"/>
  <c r="I120"/>
  <c r="H120" s="1"/>
  <c r="I196"/>
  <c r="H196" s="1"/>
  <c r="I197"/>
  <c r="H197" s="1"/>
  <c r="I165"/>
  <c r="H165" s="1"/>
  <c r="I166"/>
  <c r="H166" s="1"/>
  <c r="I138"/>
  <c r="H138" s="1"/>
  <c r="L12" i="1" l="1"/>
  <c r="K12" s="1"/>
</calcChain>
</file>

<file path=xl/sharedStrings.xml><?xml version="1.0" encoding="utf-8"?>
<sst xmlns="http://schemas.openxmlformats.org/spreadsheetml/2006/main" count="2581" uniqueCount="172">
  <si>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</si>
  <si>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</si>
  <si>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</si>
  <si>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</si>
  <si>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</si>
  <si>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</si>
  <si>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</si>
  <si>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</si>
  <si>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</si>
  <si>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</si>
  <si>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</si>
  <si>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</si>
  <si>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</si>
  <si>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</si>
  <si>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</si>
  <si>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</si>
  <si>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</si>
  <si>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</si>
  <si>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</si>
  <si>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</si>
  <si>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cadastro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</si>
  <si>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</si>
  <si>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</si>
  <si>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</si>
  <si>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</si>
  <si>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</si>
  <si>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</si>
  <si>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</si>
  <si>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</si>
  <si>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</si>
  <si>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</si>
  <si>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</si>
  <si>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</si>
  <si>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</si>
  <si>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</si>
  <si>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</si>
  <si>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</si>
  <si>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</si>
  <si>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</si>
  <si>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</si>
  <si>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</si>
  <si>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</si>
  <si>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</si>
  <si>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</si>
  <si>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</si>
  <si>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</si>
  <si>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</si>
  <si>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</si>
  <si>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</si>
  <si>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</si>
  <si>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</si>
  <si>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</si>
  <si>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</si>
  <si>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</si>
  <si>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</si>
  <si>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</si>
  <si>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</si>
  <si>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</si>
  <si>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</si>
  <si>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</si>
  <si>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</si>
  <si>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</si>
  <si>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</si>
  <si>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</si>
  <si>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</si>
  <si>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</si>
  <si>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</si>
  <si>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</si>
  <si>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</si>
  <si>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</si>
  <si>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</si>
  <si>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</si>
  <si>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</si>
  <si>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</si>
  <si>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</si>
  <si>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</si>
  <si>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</si>
  <si>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</si>
  <si>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</si>
  <si>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</si>
  <si>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</si>
  <si>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</si>
  <si>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</si>
  <si>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</si>
  <si>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</si>
  <si>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</si>
  <si>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</si>
  <si>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</si>
  <si>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</si>
  <si>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</si>
  <si>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</si>
  <si>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</si>
  <si>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</si>
  <si>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</si>
  <si>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</si>
  <si>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</si>
  <si>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</si>
  <si>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</si>
  <si>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</si>
  <si>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</si>
  <si>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</si>
  <si>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</si>
  <si>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</si>
  <si>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</si>
  <si>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</si>
  <si>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</si>
  <si>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</si>
  <si>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</si>
  <si>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</si>
  <si>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</si>
  <si>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</si>
  <si>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</si>
  <si>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</si>
  <si>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</si>
  <si>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</si>
  <si>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</si>
  <si>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</si>
  <si>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</si>
  <si>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</si>
  <si>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</si>
  <si>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</si>
  <si>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</si>
  <si>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</si>
  <si>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</si>
  <si>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</si>
  <si>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</si>
  <si>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</si>
  <si>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</si>
  <si>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</si>
  <si>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</si>
  <si>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</si>
  <si>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</si>
  <si>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</si>
  <si>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</si>
  <si>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</si>
  <si>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</si>
  <si>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</si>
  <si>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</si>
  <si>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</si>
  <si>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</si>
  <si>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</si>
  <si>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</si>
  <si>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</si>
  <si>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</si>
  <si>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</si>
  <si>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</si>
  <si>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</si>
  <si>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</si>
  <si>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</si>
  <si>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</si>
  <si>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</si>
  <si>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</si>
  <si>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</si>
  <si>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</si>
  <si>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</t>
  </si>
  <si>
    <t xml:space="preserve">        </t>
  </si>
  <si>
    <t xml:space="preserve">        #endregion</t>
  </si>
  <si>
    <t xml:space="preserve">            #region Metódos</t>
  </si>
  <si>
    <t xml:space="preserve">        public </t>
  </si>
  <si>
    <t xml:space="preserve">                return</t>
  </si>
  <si>
    <t>, conexao);</t>
  </si>
  <si>
    <t>Operador</t>
  </si>
  <si>
    <t>&lt; ---------- DEFINIR O CAMPO A SER USADO COMO CRITÉRIO DE BUSCA</t>
  </si>
  <si>
    <t>Distribuicao</t>
  </si>
  <si>
    <t>Dis_</t>
  </si>
  <si>
    <t>DataGravacao</t>
  </si>
  <si>
    <t>DataDefinida</t>
  </si>
  <si>
    <t>Total</t>
  </si>
  <si>
    <t>Valor total da distribuição</t>
  </si>
  <si>
    <t>Data definida pelo usuário</t>
  </si>
  <si>
    <t>Data da gravaçao no banco de dados</t>
  </si>
  <si>
    <t>Id do usuário do sistema</t>
  </si>
</sst>
</file>

<file path=xl/styles.xml><?xml version="1.0" encoding="utf-8"?>
<styleSheet xmlns="http://schemas.openxmlformats.org/spreadsheetml/2006/main">
  <numFmts count="2">
    <numFmt numFmtId="164" formatCode="&quot;Sim&quot;;\ &quot;Sim&quot;;\ &quot;Não&quot;"/>
    <numFmt numFmtId="165" formatCode="00"/>
  </numFmts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0" fillId="5" borderId="24" xfId="0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6" borderId="0" xfId="0" applyFill="1" applyAlignment="1">
      <alignment horizontal="left"/>
    </xf>
    <xf numFmtId="0" fontId="7" fillId="6" borderId="0" xfId="0" applyFont="1" applyFill="1"/>
    <xf numFmtId="0" fontId="8" fillId="0" borderId="0" xfId="0" applyFont="1"/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8"/>
  <ax:ocxPr ax:name="BackColor" ax:value="16384"/>
  <ax:ocxPr ax:name="Caption" ax:value="Limpar Planilha"/>
  <ax:ocxPr ax:name="Size" ax:value="3598;767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theme="6" tint="0.39997558519241921"/>
  </sheetPr>
  <dimension ref="A3:X109"/>
  <sheetViews>
    <sheetView tabSelected="1" workbookViewId="0">
      <selection activeCell="B13" sqref="B13"/>
    </sheetView>
  </sheetViews>
  <sheetFormatPr defaultRowHeight="1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3" spans="1:24">
      <c r="B3" s="94" t="s">
        <v>14</v>
      </c>
      <c r="C3" s="95"/>
      <c r="D3" s="67" t="s">
        <v>163</v>
      </c>
    </row>
    <row r="4" spans="1:24">
      <c r="B4" s="96" t="s">
        <v>35</v>
      </c>
      <c r="C4" s="60"/>
      <c r="D4" s="68" t="s">
        <v>164</v>
      </c>
    </row>
    <row r="5" spans="1:24">
      <c r="B5" s="97" t="s">
        <v>87</v>
      </c>
      <c r="C5" s="64"/>
      <c r="D5" s="69" t="s">
        <v>163</v>
      </c>
    </row>
    <row r="8" spans="1:24" ht="21.75" customHeight="1">
      <c r="B8" s="47"/>
      <c r="C8" s="48" t="s">
        <v>49</v>
      </c>
      <c r="D8" s="49"/>
      <c r="E8" s="50"/>
      <c r="F8" s="112" t="s">
        <v>33</v>
      </c>
      <c r="G8" s="112" t="s">
        <v>34</v>
      </c>
      <c r="H8" s="112" t="s">
        <v>53</v>
      </c>
      <c r="I8" s="112" t="s">
        <v>50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>
      <c r="A9" s="45" t="s">
        <v>76</v>
      </c>
      <c r="B9" s="53" t="s">
        <v>32</v>
      </c>
      <c r="C9" s="78" t="s">
        <v>38</v>
      </c>
      <c r="D9" s="13" t="s">
        <v>4</v>
      </c>
      <c r="E9" s="78" t="s">
        <v>78</v>
      </c>
      <c r="F9" s="113"/>
      <c r="G9" s="113"/>
      <c r="H9" s="114"/>
      <c r="I9" s="113"/>
      <c r="J9" s="14" t="s">
        <v>37</v>
      </c>
      <c r="K9" s="14" t="s">
        <v>32</v>
      </c>
      <c r="L9" s="15" t="s">
        <v>5</v>
      </c>
      <c r="M9" s="54" t="s">
        <v>7</v>
      </c>
      <c r="O9" s="1" t="s">
        <v>56</v>
      </c>
      <c r="P9" s="1" t="s">
        <v>55</v>
      </c>
      <c r="Q9" s="1" t="s">
        <v>51</v>
      </c>
      <c r="R9" s="1" t="s">
        <v>54</v>
      </c>
      <c r="S9" s="1" t="s">
        <v>52</v>
      </c>
      <c r="T9" s="1"/>
      <c r="U9" s="1"/>
      <c r="V9" s="1"/>
      <c r="W9" s="1"/>
      <c r="X9" s="1"/>
    </row>
    <row r="10" spans="1:24">
      <c r="A10" s="46">
        <v>1</v>
      </c>
      <c r="B10" s="55" t="s">
        <v>36</v>
      </c>
      <c r="C10" s="83">
        <v>2</v>
      </c>
      <c r="D10" s="56" t="str">
        <f>LOOKUP(C10,AJUSTE!B:B,AJUSTE!C:C)</f>
        <v>Numero</v>
      </c>
      <c r="E10" s="84" t="s">
        <v>144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Dis_Id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`Dis_Id` INT NOT NULL AUTO_INCREMENT,</v>
      </c>
      <c r="T10" s="1"/>
      <c r="U10" s="1"/>
      <c r="V10" s="1"/>
      <c r="W10" s="1"/>
      <c r="X10" s="1"/>
    </row>
    <row r="11" spans="1:24">
      <c r="A11" s="46">
        <v>2</v>
      </c>
      <c r="B11" s="59" t="s">
        <v>166</v>
      </c>
      <c r="C11" s="79">
        <v>6</v>
      </c>
      <c r="D11" s="60" t="str">
        <f>LOOKUP(C11,AJUSTE!B:B,AJUSTE!C:C)</f>
        <v>Data e Hora</v>
      </c>
      <c r="E11" s="81" t="s">
        <v>169</v>
      </c>
      <c r="F11" s="88"/>
      <c r="G11" s="106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Dis_DataDefinida</v>
      </c>
      <c r="L11" s="60" t="str">
        <f>IF(J11,LOOKUP(C11,AJUSTE!B:B,AJUSTE!E:E),"")</f>
        <v>DateTime</v>
      </c>
      <c r="M11" s="62" t="str">
        <f>IF(J11,LOOKUP(C11,AJUSTE!B:B,AJUSTE!D:D),"")</f>
        <v>DATETIME</v>
      </c>
      <c r="O11" s="1" t="str">
        <f t="shared" ref="O11:O74" si="2">IF(F11,CONCATENATE("(",F11,")"),"")</f>
        <v/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`Dis_DataDefinida` DATETIME NULL ,</v>
      </c>
      <c r="T11" s="1"/>
      <c r="U11" s="1"/>
      <c r="V11" s="1"/>
      <c r="W11" s="1"/>
      <c r="X11" s="1"/>
    </row>
    <row r="12" spans="1:24">
      <c r="A12" s="46">
        <v>3</v>
      </c>
      <c r="B12" s="59" t="s">
        <v>165</v>
      </c>
      <c r="C12" s="79">
        <v>6</v>
      </c>
      <c r="D12" s="60" t="str">
        <f>LOOKUP(C12,AJUSTE!B:B,AJUSTE!C:C)</f>
        <v>Data e Hora</v>
      </c>
      <c r="E12" s="81" t="s">
        <v>170</v>
      </c>
      <c r="F12" s="88"/>
      <c r="G12" s="106"/>
      <c r="H12" s="89"/>
      <c r="I12" s="90"/>
      <c r="J12" s="61">
        <f t="shared" si="0"/>
        <v>1</v>
      </c>
      <c r="K12" s="60" t="str">
        <f t="shared" si="1"/>
        <v>Dis_DataGravacao</v>
      </c>
      <c r="L12" s="60" t="str">
        <f>IF(J12,LOOKUP(C12,AJUSTE!B:B,AJUSTE!E:E),"")</f>
        <v>DateTime</v>
      </c>
      <c r="M12" s="62" t="str">
        <f>IF(J12,LOOKUP(C12,AJUSTE!B:B,AJUSTE!D:D),"")</f>
        <v>DATETIME</v>
      </c>
      <c r="O12" s="1" t="str">
        <f t="shared" si="2"/>
        <v/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`Dis_DataGravacao` DATETIME NULL ,</v>
      </c>
      <c r="T12" s="1"/>
      <c r="U12" s="1"/>
      <c r="V12" s="1"/>
      <c r="W12" s="1"/>
      <c r="X12" s="1"/>
    </row>
    <row r="13" spans="1:24">
      <c r="A13" s="46">
        <v>4</v>
      </c>
      <c r="B13" s="59" t="s">
        <v>167</v>
      </c>
      <c r="C13" s="79">
        <v>3</v>
      </c>
      <c r="D13" s="60" t="str">
        <f>LOOKUP(C13,AJUSTE!B:B,AJUSTE!C:C)</f>
        <v>Moeda</v>
      </c>
      <c r="E13" s="81" t="s">
        <v>168</v>
      </c>
      <c r="F13" s="88"/>
      <c r="G13" s="106"/>
      <c r="H13" s="89"/>
      <c r="I13" s="90"/>
      <c r="J13" s="61">
        <f t="shared" si="0"/>
        <v>1</v>
      </c>
      <c r="K13" s="60" t="str">
        <f t="shared" si="1"/>
        <v>Dis_Total</v>
      </c>
      <c r="L13" s="60" t="str">
        <f>IF(J13,LOOKUP(C13,AJUSTE!B:B,AJUSTE!E:E),"")</f>
        <v>decimal</v>
      </c>
      <c r="M13" s="62" t="str">
        <f>IF(J13,LOOKUP(C13,AJUSTE!B:B,AJUSTE!D:D),"")</f>
        <v>DECIMAL(10,2)</v>
      </c>
      <c r="O13" s="1" t="str">
        <f t="shared" si="2"/>
        <v/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`Dis_Total` DECIMAL(10,2) NULL ,</v>
      </c>
      <c r="T13" s="1"/>
      <c r="U13" s="1"/>
      <c r="V13" s="1"/>
      <c r="W13" s="1"/>
      <c r="X13" s="1"/>
    </row>
    <row r="14" spans="1:24">
      <c r="A14" s="46">
        <v>5</v>
      </c>
      <c r="B14" s="59" t="s">
        <v>161</v>
      </c>
      <c r="C14" s="79">
        <v>2</v>
      </c>
      <c r="D14" s="60" t="str">
        <f>LOOKUP(C14,AJUSTE!B:B,AJUSTE!C:C)</f>
        <v>Numero</v>
      </c>
      <c r="E14" s="81" t="s">
        <v>171</v>
      </c>
      <c r="F14" s="88"/>
      <c r="G14" s="106"/>
      <c r="H14" s="89"/>
      <c r="I14" s="90"/>
      <c r="J14" s="61">
        <f t="shared" si="0"/>
        <v>1</v>
      </c>
      <c r="K14" s="60" t="str">
        <f t="shared" si="1"/>
        <v>Dis_Operador</v>
      </c>
      <c r="L14" s="60" t="str">
        <f>IF(J14,LOOKUP(C14,AJUSTE!B:B,AJUSTE!E:E),"")</f>
        <v>int</v>
      </c>
      <c r="M14" s="62" t="str">
        <f>IF(J14,LOOKUP(C14,AJUSTE!B:B,AJUSTE!D:D),"")</f>
        <v>INT</v>
      </c>
      <c r="O14" s="1" t="str">
        <f t="shared" si="2"/>
        <v/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`Dis_Operador` INT NULL ,</v>
      </c>
      <c r="T14" s="1"/>
      <c r="U14" s="1"/>
      <c r="V14" s="1"/>
      <c r="W14" s="1"/>
      <c r="X14" s="1"/>
    </row>
    <row r="15" spans="1:24">
      <c r="A15" s="46">
        <v>6</v>
      </c>
      <c r="B15" s="59"/>
      <c r="C15" s="79">
        <v>30</v>
      </c>
      <c r="D15" s="60" t="str">
        <f>LOOKUP(C15,AJUSTE!B:B,AJUSTE!C:C)</f>
        <v>Nenhuma definida</v>
      </c>
      <c r="E15" s="81"/>
      <c r="F15" s="88"/>
      <c r="G15" s="106"/>
      <c r="H15" s="89"/>
      <c r="I15" s="90"/>
      <c r="J15" s="61">
        <f t="shared" si="0"/>
        <v>0</v>
      </c>
      <c r="K15" s="60" t="str">
        <f t="shared" si="1"/>
        <v/>
      </c>
      <c r="L15" s="60" t="str">
        <f>IF(J15,LOOKUP(C15,AJUSTE!B:B,AJUSTE!E:E),"")</f>
        <v/>
      </c>
      <c r="M15" s="62" t="str">
        <f>IF(J15,LOOKUP(C15,AJUSTE!B:B,AJUSTE!D:D),"")</f>
        <v/>
      </c>
      <c r="O15" s="1" t="str">
        <f t="shared" si="2"/>
        <v/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/>
      </c>
      <c r="T15" s="1"/>
      <c r="U15" s="1"/>
      <c r="V15" s="1"/>
      <c r="W15" s="1"/>
      <c r="X15" s="1"/>
    </row>
    <row r="16" spans="1:24">
      <c r="A16" s="46">
        <v>7</v>
      </c>
      <c r="B16" s="59"/>
      <c r="C16" s="79">
        <v>30</v>
      </c>
      <c r="D16" s="60" t="str">
        <f>LOOKUP(C16,AJUSTE!B:B,AJUSTE!C:C)</f>
        <v>Nenhuma definida</v>
      </c>
      <c r="E16" s="81"/>
      <c r="F16" s="88"/>
      <c r="G16" s="106"/>
      <c r="H16" s="89"/>
      <c r="I16" s="90"/>
      <c r="J16" s="61">
        <f t="shared" si="0"/>
        <v>0</v>
      </c>
      <c r="K16" s="60" t="str">
        <f t="shared" si="1"/>
        <v/>
      </c>
      <c r="L16" s="60" t="str">
        <f>IF(J16,LOOKUP(C16,AJUSTE!B:B,AJUSTE!E:E),"")</f>
        <v/>
      </c>
      <c r="M16" s="62" t="str">
        <f>IF(J16,LOOKUP(C16,AJUSTE!B:B,AJUSTE!D:D),"")</f>
        <v/>
      </c>
      <c r="O16" s="1" t="str">
        <f t="shared" si="2"/>
        <v/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/>
      </c>
      <c r="T16" s="1"/>
      <c r="U16" s="1"/>
      <c r="V16" s="1"/>
      <c r="W16" s="1"/>
      <c r="X16" s="1"/>
    </row>
    <row r="17" spans="1:24">
      <c r="A17" s="46">
        <v>8</v>
      </c>
      <c r="B17" s="59"/>
      <c r="C17" s="79">
        <v>30</v>
      </c>
      <c r="D17" s="60" t="str">
        <f>LOOKUP(C17,AJUSTE!B:B,AJUSTE!C:C)</f>
        <v>Nenhuma definida</v>
      </c>
      <c r="E17" s="81"/>
      <c r="F17" s="88"/>
      <c r="G17" s="106"/>
      <c r="H17" s="89"/>
      <c r="I17" s="90"/>
      <c r="J17" s="61">
        <f t="shared" si="0"/>
        <v>0</v>
      </c>
      <c r="K17" s="60" t="str">
        <f t="shared" si="1"/>
        <v/>
      </c>
      <c r="L17" s="60" t="str">
        <f>IF(J17,LOOKUP(C17,AJUSTE!B:B,AJUSTE!E:E),"")</f>
        <v/>
      </c>
      <c r="M17" s="62" t="str">
        <f>IF(J17,LOOKUP(C17,AJUSTE!B:B,AJUSTE!D:D),"")</f>
        <v/>
      </c>
      <c r="O17" s="1" t="str">
        <f t="shared" si="2"/>
        <v/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/>
      </c>
      <c r="T17" s="1"/>
      <c r="U17" s="1"/>
      <c r="V17" s="1"/>
      <c r="W17" s="1"/>
      <c r="X17" s="1"/>
    </row>
    <row r="18" spans="1:24">
      <c r="A18" s="46">
        <v>9</v>
      </c>
      <c r="B18" s="59"/>
      <c r="C18" s="79">
        <v>30</v>
      </c>
      <c r="D18" s="60" t="str">
        <f>LOOKUP(C18,AJUSTE!B:B,AJUSTE!C:C)</f>
        <v>Nenhuma definida</v>
      </c>
      <c r="E18" s="81"/>
      <c r="F18" s="88"/>
      <c r="G18" s="106"/>
      <c r="H18" s="89"/>
      <c r="I18" s="90"/>
      <c r="J18" s="61">
        <f t="shared" si="0"/>
        <v>0</v>
      </c>
      <c r="K18" s="60" t="str">
        <f t="shared" si="1"/>
        <v/>
      </c>
      <c r="L18" s="60" t="str">
        <f>IF(J18,LOOKUP(C18,AJUSTE!B:B,AJUSTE!E:E),"")</f>
        <v/>
      </c>
      <c r="M18" s="62" t="str">
        <f>IF(J18,LOOKUP(C18,AJUSTE!B:B,AJUSTE!D:D),"")</f>
        <v/>
      </c>
      <c r="O18" s="1" t="str">
        <f t="shared" si="2"/>
        <v/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/>
      </c>
      <c r="T18" s="1"/>
      <c r="U18" s="1"/>
      <c r="V18" s="1"/>
      <c r="W18" s="1"/>
      <c r="X18" s="1"/>
    </row>
    <row r="19" spans="1:24">
      <c r="A19" s="46">
        <v>10</v>
      </c>
      <c r="B19" s="59"/>
      <c r="C19" s="79">
        <v>30</v>
      </c>
      <c r="D19" s="60" t="str">
        <f>LOOKUP(C19,AJUSTE!B:B,AJUSTE!C:C)</f>
        <v>Nenhuma definida</v>
      </c>
      <c r="E19" s="81"/>
      <c r="F19" s="88"/>
      <c r="G19" s="106"/>
      <c r="H19" s="89"/>
      <c r="I19" s="90"/>
      <c r="J19" s="61">
        <f t="shared" si="0"/>
        <v>0</v>
      </c>
      <c r="K19" s="60" t="str">
        <f t="shared" si="1"/>
        <v/>
      </c>
      <c r="L19" s="60" t="str">
        <f>IF(J19,LOOKUP(C19,AJUSTE!B:B,AJUSTE!E:E),"")</f>
        <v/>
      </c>
      <c r="M19" s="62" t="str">
        <f>IF(J19,LOOKUP(C19,AJUSTE!B:B,AJUSTE!D:D),"")</f>
        <v/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/>
      </c>
      <c r="T19" s="1"/>
      <c r="U19" s="1"/>
      <c r="V19" s="1"/>
      <c r="W19" s="1"/>
      <c r="X19" s="1"/>
    </row>
    <row r="20" spans="1:24">
      <c r="A20" s="46">
        <v>11</v>
      </c>
      <c r="B20" s="59"/>
      <c r="C20" s="79">
        <v>30</v>
      </c>
      <c r="D20" s="60" t="str">
        <f>LOOKUP(C20,AJUSTE!B:B,AJUSTE!C:C)</f>
        <v>Nenhuma definida</v>
      </c>
      <c r="E20" s="81"/>
      <c r="F20" s="88"/>
      <c r="G20" s="106"/>
      <c r="H20" s="89"/>
      <c r="I20" s="90"/>
      <c r="J20" s="61">
        <f t="shared" si="0"/>
        <v>0</v>
      </c>
      <c r="K20" s="60" t="str">
        <f t="shared" si="1"/>
        <v/>
      </c>
      <c r="L20" s="60" t="str">
        <f>IF(J20,LOOKUP(C20,AJUSTE!B:B,AJUSTE!E:E),"")</f>
        <v/>
      </c>
      <c r="M20" s="62" t="str">
        <f>IF(J20,LOOKUP(C20,AJUSTE!B:B,AJUSTE!D:D),"")</f>
        <v/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1"/>
      <c r="U20" s="1"/>
      <c r="V20" s="1"/>
      <c r="W20" s="1"/>
      <c r="X20" s="1"/>
    </row>
    <row r="21" spans="1:24">
      <c r="A21" s="46">
        <v>12</v>
      </c>
      <c r="B21" s="59"/>
      <c r="C21" s="79">
        <v>30</v>
      </c>
      <c r="D21" s="60" t="str">
        <f>LOOKUP(C21,AJUSTE!B:B,AJUSTE!C:C)</f>
        <v>Nenhuma definida</v>
      </c>
      <c r="E21" s="81"/>
      <c r="F21" s="88"/>
      <c r="G21" s="106"/>
      <c r="H21" s="89"/>
      <c r="I21" s="90"/>
      <c r="J21" s="61">
        <f t="shared" si="0"/>
        <v>0</v>
      </c>
      <c r="K21" s="60" t="str">
        <f t="shared" si="1"/>
        <v/>
      </c>
      <c r="L21" s="60" t="str">
        <f>IF(J21,LOOKUP(C21,AJUSTE!B:B,AJUSTE!E:E),"")</f>
        <v/>
      </c>
      <c r="M21" s="62" t="str">
        <f>IF(J21,LOOKUP(C21,AJUSTE!B:B,AJUSTE!D:D),"")</f>
        <v/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1"/>
      <c r="U21" s="1"/>
      <c r="V21" s="1"/>
      <c r="W21" s="1"/>
      <c r="X21" s="1"/>
    </row>
    <row r="22" spans="1:24">
      <c r="A22" s="46">
        <v>13</v>
      </c>
      <c r="B22" s="59"/>
      <c r="C22" s="79">
        <v>30</v>
      </c>
      <c r="D22" s="60" t="str">
        <f>LOOKUP(C22,AJUSTE!B:B,AJUSTE!C:C)</f>
        <v>Nenhuma definida</v>
      </c>
      <c r="E22" s="81"/>
      <c r="F22" s="88"/>
      <c r="G22" s="106"/>
      <c r="H22" s="89"/>
      <c r="I22" s="90"/>
      <c r="J22" s="61">
        <f t="shared" si="0"/>
        <v>0</v>
      </c>
      <c r="K22" s="60" t="str">
        <f t="shared" si="1"/>
        <v/>
      </c>
      <c r="L22" s="60" t="str">
        <f>IF(J22,LOOKUP(C22,AJUSTE!B:B,AJUSTE!E:E),"")</f>
        <v/>
      </c>
      <c r="M22" s="62" t="str">
        <f>IF(J22,LOOKUP(C22,AJUSTE!B:B,AJUSTE!D:D),"")</f>
        <v/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1"/>
      <c r="U22" s="1"/>
      <c r="V22" s="1"/>
      <c r="W22" s="1"/>
      <c r="X22" s="1"/>
    </row>
    <row r="23" spans="1:24">
      <c r="A23" s="46">
        <v>14</v>
      </c>
      <c r="B23" s="59"/>
      <c r="C23" s="79">
        <v>30</v>
      </c>
      <c r="D23" s="60" t="str">
        <f>LOOKUP(C23,AJUSTE!B:B,AJUSTE!C:C)</f>
        <v>Nenhuma definida</v>
      </c>
      <c r="E23" s="81"/>
      <c r="F23" s="88"/>
      <c r="G23" s="106"/>
      <c r="H23" s="89"/>
      <c r="I23" s="90"/>
      <c r="J23" s="61">
        <f t="shared" si="0"/>
        <v>0</v>
      </c>
      <c r="K23" s="60" t="str">
        <f t="shared" si="1"/>
        <v/>
      </c>
      <c r="L23" s="60" t="str">
        <f>IF(J23,LOOKUP(C23,AJUSTE!B:B,AJUSTE!E:E),"")</f>
        <v/>
      </c>
      <c r="M23" s="62" t="str">
        <f>IF(J23,LOOKUP(C23,AJUSTE!B:B,AJUSTE!D:D),"")</f>
        <v/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1"/>
      <c r="U23" s="1"/>
      <c r="V23" s="1"/>
      <c r="W23" s="1"/>
      <c r="X23" s="1"/>
    </row>
    <row r="24" spans="1:24">
      <c r="A24" s="46">
        <v>15</v>
      </c>
      <c r="B24" s="59"/>
      <c r="C24" s="79">
        <v>30</v>
      </c>
      <c r="D24" s="60" t="str">
        <f>LOOKUP(C24,AJUSTE!B:B,AJUSTE!C:C)</f>
        <v>Nenhuma definida</v>
      </c>
      <c r="E24" s="81"/>
      <c r="F24" s="88"/>
      <c r="G24" s="106"/>
      <c r="H24" s="89"/>
      <c r="I24" s="90"/>
      <c r="J24" s="61">
        <f t="shared" si="0"/>
        <v>0</v>
      </c>
      <c r="K24" s="60" t="str">
        <f t="shared" si="1"/>
        <v/>
      </c>
      <c r="L24" s="60" t="str">
        <f>IF(J24,LOOKUP(C24,AJUSTE!B:B,AJUSTE!E:E),"")</f>
        <v/>
      </c>
      <c r="M24" s="62" t="str">
        <f>IF(J24,LOOKUP(C24,AJUSTE!B:B,AJUSTE!D:D),"")</f>
        <v/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1"/>
      <c r="U24" s="1"/>
      <c r="V24" s="1"/>
      <c r="W24" s="1"/>
      <c r="X24" s="1"/>
    </row>
    <row r="25" spans="1:24">
      <c r="A25" s="46">
        <v>16</v>
      </c>
      <c r="B25" s="59"/>
      <c r="C25" s="79">
        <v>30</v>
      </c>
      <c r="D25" s="60" t="str">
        <f>LOOKUP(C25,AJUSTE!B:B,AJUSTE!C:C)</f>
        <v>Nenhuma definida</v>
      </c>
      <c r="E25" s="81"/>
      <c r="F25" s="88"/>
      <c r="G25" s="106"/>
      <c r="H25" s="89"/>
      <c r="I25" s="90"/>
      <c r="J25" s="61">
        <f t="shared" si="0"/>
        <v>0</v>
      </c>
      <c r="K25" s="60" t="str">
        <f t="shared" si="1"/>
        <v/>
      </c>
      <c r="L25" s="60" t="str">
        <f>IF(J25,LOOKUP(C25,AJUSTE!B:B,AJUSTE!E:E),"")</f>
        <v/>
      </c>
      <c r="M25" s="62" t="str">
        <f>IF(J25,LOOKUP(C25,AJUSTE!B:B,AJUSTE!D:D),"")</f>
        <v/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1"/>
      <c r="U25" s="1"/>
      <c r="V25" s="1"/>
      <c r="W25" s="1"/>
      <c r="X25" s="1"/>
    </row>
    <row r="26" spans="1:24">
      <c r="A26" s="46">
        <v>17</v>
      </c>
      <c r="B26" s="59"/>
      <c r="C26" s="79">
        <v>30</v>
      </c>
      <c r="D26" s="60" t="str">
        <f>LOOKUP(C26,AJUSTE!B:B,AJUSTE!C:C)</f>
        <v>Nenhuma definida</v>
      </c>
      <c r="E26" s="81"/>
      <c r="F26" s="88"/>
      <c r="G26" s="106"/>
      <c r="H26" s="89"/>
      <c r="I26" s="90"/>
      <c r="J26" s="61">
        <f t="shared" si="0"/>
        <v>0</v>
      </c>
      <c r="K26" s="60" t="str">
        <f t="shared" si="1"/>
        <v/>
      </c>
      <c r="L26" s="60" t="str">
        <f>IF(J26,LOOKUP(C26,AJUSTE!B:B,AJUSTE!E:E),"")</f>
        <v/>
      </c>
      <c r="M26" s="62" t="str">
        <f>IF(J26,LOOKUP(C26,AJUSTE!B:B,AJUSTE!D:D),"")</f>
        <v/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1"/>
      <c r="U26" s="1"/>
      <c r="V26" s="1"/>
      <c r="W26" s="1"/>
      <c r="X26" s="1"/>
    </row>
    <row r="27" spans="1:24">
      <c r="A27" s="46">
        <v>18</v>
      </c>
      <c r="B27" s="59"/>
      <c r="C27" s="79">
        <v>30</v>
      </c>
      <c r="D27" s="60" t="str">
        <f>LOOKUP(C27,AJUSTE!B:B,AJUSTE!C:C)</f>
        <v>Nenhuma definida</v>
      </c>
      <c r="E27" s="81"/>
      <c r="F27" s="88"/>
      <c r="G27" s="106"/>
      <c r="H27" s="89"/>
      <c r="I27" s="90"/>
      <c r="J27" s="61">
        <f t="shared" si="0"/>
        <v>0</v>
      </c>
      <c r="K27" s="60" t="str">
        <f t="shared" si="1"/>
        <v/>
      </c>
      <c r="L27" s="60" t="str">
        <f>IF(J27,LOOKUP(C27,AJUSTE!B:B,AJUSTE!E:E),"")</f>
        <v/>
      </c>
      <c r="M27" s="62" t="str">
        <f>IF(J27,LOOKUP(C27,AJUSTE!B:B,AJUSTE!D:D),"")</f>
        <v/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1"/>
      <c r="U27" s="1"/>
      <c r="V27" s="1"/>
      <c r="W27" s="1"/>
      <c r="X27" s="1"/>
    </row>
    <row r="28" spans="1:24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106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106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106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106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106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106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106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106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106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106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106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106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106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106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106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106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106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106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106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106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106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106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106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106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106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106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106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106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106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106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106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106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106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106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106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106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106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106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106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106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106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106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106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106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106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106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106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106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106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106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106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106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106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106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106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106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106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106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106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106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106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106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106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106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106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106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106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106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106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106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106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106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106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106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106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106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106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106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106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106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106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107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&#10;Ex:&#10;Tabela: Cadastro&#10;Prefixo: Cadastro_" sqref="D4"/>
    <dataValidation allowBlank="1" showInputMessage="1" showErrorMessage="1" promptTitle="Nome da Classe" prompt="Informe qual nome a classe terá no Visual Studio (C#).&#10;&#10;Importante:&#10;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controls>
    <control shapeId="1025" r:id="rId3" name="btnReinicia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 filterMode="1">
    <tabColor theme="9" tint="0.59999389629810485"/>
  </sheetPr>
  <dimension ref="B1:I703"/>
  <sheetViews>
    <sheetView zoomScale="110" zoomScaleNormal="110" workbookViewId="0">
      <selection activeCell="H1" sqref="H1:I703"/>
    </sheetView>
  </sheetViews>
  <sheetFormatPr defaultRowHeight="1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>
      <c r="H1" s="36" t="s">
        <v>106</v>
      </c>
      <c r="I1" s="35" t="s">
        <v>107</v>
      </c>
    </row>
    <row r="2" spans="2:9">
      <c r="H2" s="104">
        <f>IF(I2&lt;&gt;"",1,0)</f>
        <v>1</v>
      </c>
      <c r="I2" s="3" t="s">
        <v>152</v>
      </c>
    </row>
    <row r="3" spans="2:9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>
      <c r="B4" s="101">
        <v>1</v>
      </c>
      <c r="C4" s="70" t="s">
        <v>108</v>
      </c>
      <c r="D4" s="71" t="str">
        <f>B6</f>
        <v>int</v>
      </c>
      <c r="E4" s="71" t="str">
        <f>LOWER(E5)</f>
        <v>dis_id</v>
      </c>
      <c r="F4" s="71"/>
      <c r="G4" s="75" t="s">
        <v>73</v>
      </c>
      <c r="H4" s="104">
        <f t="shared" ref="H4:H67" si="0">IF(I4&lt;&gt;"",1,0)</f>
        <v>1</v>
      </c>
      <c r="I4" s="3" t="str">
        <f>IF(B7,CONCATENATE(C4,D4," ",E4,F4,G4),"")</f>
        <v xml:space="preserve">    private int dis_id;</v>
      </c>
    </row>
    <row r="5" spans="2:9">
      <c r="B5" s="102" t="str">
        <f>LOOKUP(B4,INICIO!A$10:A$109,INICIO!K$10:K$109)</f>
        <v>Dis_Id</v>
      </c>
      <c r="C5" s="72" t="s">
        <v>109</v>
      </c>
      <c r="D5" s="73" t="str">
        <f>B6</f>
        <v>int</v>
      </c>
      <c r="E5" s="73" t="str">
        <f>B5</f>
        <v>Dis_Id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Dis_Id</v>
      </c>
    </row>
    <row r="6" spans="2:9">
      <c r="B6" s="102" t="str">
        <f>LOOKUP(B4,INICIO!A$10:A$109,INICIO!L$10:L$109)</f>
        <v>int</v>
      </c>
      <c r="C6" s="72" t="s">
        <v>110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>
      <c r="B7" s="102">
        <f>LOOKUP(B4,INICIO!A$10:A$109,INICIO!J$10:J$109)</f>
        <v>1</v>
      </c>
      <c r="C7" s="72" t="s">
        <v>114</v>
      </c>
      <c r="D7" s="73" t="str">
        <f>CONCATENATE(E4,F4)</f>
        <v>dis_id</v>
      </c>
      <c r="E7" s="73" t="s">
        <v>74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dis_id ; }</v>
      </c>
    </row>
    <row r="8" spans="2:9">
      <c r="B8" s="102" t="str">
        <f>LOOKUP(B4,INICIO!A$10:A$109,INICIO!E$10:E$109)</f>
        <v>Código Interno (Chave Primária)</v>
      </c>
      <c r="C8" s="72" t="s">
        <v>115</v>
      </c>
      <c r="D8" s="73" t="str">
        <f>CONCATENATE(E4,F4)</f>
        <v>dis_id</v>
      </c>
      <c r="E8" s="73" t="s">
        <v>75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dis_id  = value; }</v>
      </c>
    </row>
    <row r="9" spans="2:9">
      <c r="B9" s="103"/>
      <c r="C9" s="74" t="s">
        <v>113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>
      <c r="H10" s="104">
        <f t="shared" si="0"/>
        <v>1</v>
      </c>
      <c r="I10" s="3" t="str">
        <f t="shared" ref="I10" si="1">IF(ISTEXT(B15),CONCATENATE("    // ",B15),"")</f>
        <v xml:space="preserve">    // Data definida pelo usuário</v>
      </c>
    </row>
    <row r="11" spans="2:9">
      <c r="B11" s="101">
        <v>2</v>
      </c>
      <c r="C11" s="70" t="s">
        <v>108</v>
      </c>
      <c r="D11" s="71" t="str">
        <f>B13</f>
        <v>DateTime</v>
      </c>
      <c r="E11" s="71" t="str">
        <f>LOWER(E12)</f>
        <v>dis_datadefinida</v>
      </c>
      <c r="F11" s="71"/>
      <c r="G11" s="75" t="s">
        <v>73</v>
      </c>
      <c r="H11" s="104">
        <f t="shared" si="0"/>
        <v>1</v>
      </c>
      <c r="I11" s="3" t="str">
        <f t="shared" ref="I11" si="2">IF(B14,CONCATENATE(C11,D11," ",E11,F11,G11),"")</f>
        <v xml:space="preserve">    private DateTime dis_datadefinida;</v>
      </c>
    </row>
    <row r="12" spans="2:9">
      <c r="B12" s="102" t="str">
        <f>LOOKUP(B11,INICIO!A$10:A$109,INICIO!K$10:K$109)</f>
        <v>Dis_DataDefinida</v>
      </c>
      <c r="C12" s="72" t="s">
        <v>109</v>
      </c>
      <c r="D12" s="73" t="str">
        <f>B13</f>
        <v>DateTime</v>
      </c>
      <c r="E12" s="73" t="str">
        <f>B12</f>
        <v>Dis_DataDefinida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DateTime Dis_DataDefinida</v>
      </c>
    </row>
    <row r="13" spans="2:9">
      <c r="B13" s="102" t="str">
        <f>LOOKUP(B11,INICIO!A$10:A$109,INICIO!L$10:L$109)</f>
        <v>DateTime</v>
      </c>
      <c r="C13" s="72" t="s">
        <v>110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>
      <c r="B14" s="102">
        <f>LOOKUP(B11,INICIO!A$10:A$109,INICIO!J$10:J$109)</f>
        <v>1</v>
      </c>
      <c r="C14" s="72" t="s">
        <v>111</v>
      </c>
      <c r="D14" s="73" t="str">
        <f>CONCATENATE(E11,F11)</f>
        <v>dis_datadefinida</v>
      </c>
      <c r="E14" s="73" t="s">
        <v>74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dis_datadefinida ; }</v>
      </c>
    </row>
    <row r="15" spans="2:9">
      <c r="B15" s="102" t="str">
        <f>LOOKUP(B11,INICIO!A$10:A$109,INICIO!E$10:E$109)</f>
        <v>Data definida pelo usuário</v>
      </c>
      <c r="C15" s="72" t="s">
        <v>112</v>
      </c>
      <c r="D15" s="73" t="str">
        <f>CONCATENATE(E11,F11)</f>
        <v>dis_datadefinida</v>
      </c>
      <c r="E15" s="73" t="s">
        <v>75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dis_datadefinida  = value; }</v>
      </c>
    </row>
    <row r="16" spans="2:9">
      <c r="B16" s="103"/>
      <c r="C16" s="74" t="s">
        <v>113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>
      <c r="H17" s="104">
        <f t="shared" si="0"/>
        <v>1</v>
      </c>
      <c r="I17" s="3" t="str">
        <f t="shared" ref="I17" si="8">IF(ISTEXT(B22),CONCATENATE("    // ",B22),"")</f>
        <v xml:space="preserve">    // Data da gravaçao no banco de dados</v>
      </c>
    </row>
    <row r="18" spans="2:9">
      <c r="B18" s="101">
        <v>3</v>
      </c>
      <c r="C18" s="70" t="s">
        <v>108</v>
      </c>
      <c r="D18" s="71" t="str">
        <f>B20</f>
        <v>DateTime</v>
      </c>
      <c r="E18" s="71" t="str">
        <f>LOWER(E19)</f>
        <v>dis_datagravacao</v>
      </c>
      <c r="F18" s="71"/>
      <c r="G18" s="75" t="s">
        <v>73</v>
      </c>
      <c r="H18" s="104">
        <f t="shared" si="0"/>
        <v>1</v>
      </c>
      <c r="I18" s="3" t="str">
        <f t="shared" ref="I18" si="9">IF(B21,CONCATENATE(C18,D18," ",E18,F18,G18),"")</f>
        <v xml:space="preserve">    private DateTime dis_datagravacao;</v>
      </c>
    </row>
    <row r="19" spans="2:9">
      <c r="B19" s="102" t="str">
        <f>LOOKUP(B18,INICIO!A$10:A$109,INICIO!K$10:K$109)</f>
        <v>Dis_DataGravacao</v>
      </c>
      <c r="C19" s="72" t="s">
        <v>109</v>
      </c>
      <c r="D19" s="73" t="str">
        <f>B20</f>
        <v>DateTime</v>
      </c>
      <c r="E19" s="73" t="str">
        <f>B19</f>
        <v>Dis_DataGravacao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DateTime Dis_DataGravacao</v>
      </c>
    </row>
    <row r="20" spans="2:9">
      <c r="B20" s="102" t="str">
        <f>LOOKUP(B18,INICIO!A$10:A$109,INICIO!L$10:L$109)</f>
        <v>DateTime</v>
      </c>
      <c r="C20" s="72" t="s">
        <v>110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>
      <c r="B21" s="102">
        <f>LOOKUP(B18,INICIO!A$10:A$109,INICIO!J$10:J$109)</f>
        <v>1</v>
      </c>
      <c r="C21" s="72" t="s">
        <v>111</v>
      </c>
      <c r="D21" s="73" t="str">
        <f>CONCATENATE(E18,F18)</f>
        <v>dis_datagravacao</v>
      </c>
      <c r="E21" s="73" t="s">
        <v>74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dis_datagravacao ; }</v>
      </c>
    </row>
    <row r="22" spans="2:9">
      <c r="B22" s="102" t="str">
        <f>LOOKUP(B18,INICIO!A$10:A$109,INICIO!E$10:E$109)</f>
        <v>Data da gravaçao no banco de dados</v>
      </c>
      <c r="C22" s="72" t="s">
        <v>112</v>
      </c>
      <c r="D22" s="73" t="str">
        <f>CONCATENATE(E18,F18)</f>
        <v>dis_datagravacao</v>
      </c>
      <c r="E22" s="73" t="s">
        <v>75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dis_datagravacao  = value; }</v>
      </c>
    </row>
    <row r="23" spans="2:9">
      <c r="B23" s="103"/>
      <c r="C23" s="74" t="s">
        <v>113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>
      <c r="H24" s="104">
        <f t="shared" si="0"/>
        <v>1</v>
      </c>
      <c r="I24" s="3" t="str">
        <f t="shared" ref="I24" si="15">IF(ISTEXT(B29),CONCATENATE("    // ",B29),"")</f>
        <v xml:space="preserve">    // Valor total da distribuição</v>
      </c>
    </row>
    <row r="25" spans="2:9">
      <c r="B25" s="101">
        <v>4</v>
      </c>
      <c r="C25" s="70" t="s">
        <v>108</v>
      </c>
      <c r="D25" s="71" t="str">
        <f>B27</f>
        <v>decimal</v>
      </c>
      <c r="E25" s="71" t="str">
        <f>LOWER(E26)</f>
        <v>dis_total</v>
      </c>
      <c r="F25" s="71"/>
      <c r="G25" s="75" t="s">
        <v>73</v>
      </c>
      <c r="H25" s="104">
        <f t="shared" si="0"/>
        <v>1</v>
      </c>
      <c r="I25" s="3" t="str">
        <f t="shared" ref="I25" si="16">IF(B28,CONCATENATE(C25,D25," ",E25,F25,G25),"")</f>
        <v xml:space="preserve">    private decimal dis_total;</v>
      </c>
    </row>
    <row r="26" spans="2:9">
      <c r="B26" s="102" t="str">
        <f>LOOKUP(B25,INICIO!A$10:A$109,INICIO!K$10:K$109)</f>
        <v>Dis_Total</v>
      </c>
      <c r="C26" s="72" t="s">
        <v>109</v>
      </c>
      <c r="D26" s="73" t="str">
        <f>B27</f>
        <v>decimal</v>
      </c>
      <c r="E26" s="73" t="str">
        <f>B26</f>
        <v>Dis_Total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decimal Dis_Total</v>
      </c>
    </row>
    <row r="27" spans="2:9">
      <c r="B27" s="102" t="str">
        <f>LOOKUP(B25,INICIO!A$10:A$109,INICIO!L$10:L$109)</f>
        <v>decimal</v>
      </c>
      <c r="C27" s="72" t="s">
        <v>110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>
      <c r="B28" s="102">
        <f>LOOKUP(B25,INICIO!A$10:A$109,INICIO!J$10:J$109)</f>
        <v>1</v>
      </c>
      <c r="C28" s="72" t="s">
        <v>111</v>
      </c>
      <c r="D28" s="73" t="str">
        <f>CONCATENATE(E25,F25)</f>
        <v>dis_total</v>
      </c>
      <c r="E28" s="73" t="s">
        <v>74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dis_total ; }</v>
      </c>
    </row>
    <row r="29" spans="2:9">
      <c r="B29" s="102" t="str">
        <f>LOOKUP(B25,INICIO!A$10:A$109,INICIO!E$10:E$109)</f>
        <v>Valor total da distribuição</v>
      </c>
      <c r="C29" s="72" t="s">
        <v>112</v>
      </c>
      <c r="D29" s="73" t="str">
        <f>CONCATENATE(E25,F25)</f>
        <v>dis_total</v>
      </c>
      <c r="E29" s="73" t="s">
        <v>75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dis_total  = value; }</v>
      </c>
    </row>
    <row r="30" spans="2:9">
      <c r="B30" s="103"/>
      <c r="C30" s="74" t="s">
        <v>113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>
      <c r="H31" s="104">
        <f t="shared" si="0"/>
        <v>1</v>
      </c>
      <c r="I31" s="3" t="str">
        <f t="shared" ref="I31" si="22">IF(ISTEXT(B36),CONCATENATE("    // ",B36),"")</f>
        <v xml:space="preserve">    // Id do usuário do sistema</v>
      </c>
    </row>
    <row r="32" spans="2:9">
      <c r="B32" s="101">
        <v>5</v>
      </c>
      <c r="C32" s="70" t="s">
        <v>108</v>
      </c>
      <c r="D32" s="71" t="str">
        <f>B34</f>
        <v>int</v>
      </c>
      <c r="E32" s="71" t="str">
        <f>LOWER(E33)</f>
        <v>dis_operador</v>
      </c>
      <c r="F32" s="71"/>
      <c r="G32" s="75" t="s">
        <v>73</v>
      </c>
      <c r="H32" s="104">
        <f t="shared" si="0"/>
        <v>1</v>
      </c>
      <c r="I32" s="3" t="str">
        <f t="shared" ref="I32" si="23">IF(B35,CONCATENATE(C32,D32," ",E32,F32,G32),"")</f>
        <v xml:space="preserve">    private int dis_operador;</v>
      </c>
    </row>
    <row r="33" spans="2:9">
      <c r="B33" s="102" t="str">
        <f>LOOKUP(B32,INICIO!A$10:A$109,INICIO!K$10:K$109)</f>
        <v>Dis_Operador</v>
      </c>
      <c r="C33" s="72" t="s">
        <v>109</v>
      </c>
      <c r="D33" s="73" t="str">
        <f>B34</f>
        <v>int</v>
      </c>
      <c r="E33" s="73" t="str">
        <f>B33</f>
        <v>Dis_Operador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int Dis_Operador</v>
      </c>
    </row>
    <row r="34" spans="2:9">
      <c r="B34" s="102" t="str">
        <f>LOOKUP(B32,INICIO!A$10:A$109,INICIO!L$10:L$109)</f>
        <v>int</v>
      </c>
      <c r="C34" s="72" t="s">
        <v>110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>
      <c r="B35" s="102">
        <f>LOOKUP(B32,INICIO!A$10:A$109,INICIO!J$10:J$109)</f>
        <v>1</v>
      </c>
      <c r="C35" s="72" t="s">
        <v>111</v>
      </c>
      <c r="D35" s="73" t="str">
        <f>CONCATENATE(E32,F32)</f>
        <v>dis_operador</v>
      </c>
      <c r="E35" s="73" t="s">
        <v>74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dis_operador ; }</v>
      </c>
    </row>
    <row r="36" spans="2:9">
      <c r="B36" s="102" t="str">
        <f>LOOKUP(B32,INICIO!A$10:A$109,INICIO!E$10:E$109)</f>
        <v>Id do usuário do sistema</v>
      </c>
      <c r="C36" s="72" t="s">
        <v>112</v>
      </c>
      <c r="D36" s="73" t="str">
        <f>CONCATENATE(E32,F32)</f>
        <v>dis_operador</v>
      </c>
      <c r="E36" s="73" t="s">
        <v>75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dis_operador  = value; }</v>
      </c>
    </row>
    <row r="37" spans="2:9">
      <c r="B37" s="103"/>
      <c r="C37" s="74" t="s">
        <v>113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 hidden="1">
      <c r="H38" s="104">
        <f t="shared" si="0"/>
        <v>0</v>
      </c>
      <c r="I38" s="3" t="str">
        <f t="shared" ref="I38" si="29">IF(ISTEXT(B43),CONCATENATE("    // ",B43),"")</f>
        <v/>
      </c>
    </row>
    <row r="39" spans="2:9" hidden="1">
      <c r="B39" s="101">
        <v>6</v>
      </c>
      <c r="C39" s="70" t="s">
        <v>108</v>
      </c>
      <c r="D39" s="71" t="str">
        <f>B41</f>
        <v/>
      </c>
      <c r="E39" s="71" t="str">
        <f>LOWER(E40)</f>
        <v/>
      </c>
      <c r="F39" s="71"/>
      <c r="G39" s="75" t="s">
        <v>73</v>
      </c>
      <c r="H39" s="104">
        <f t="shared" si="0"/>
        <v>0</v>
      </c>
      <c r="I39" s="3" t="str">
        <f t="shared" ref="I39" si="30">IF(B42,CONCATENATE(C39,D39," ",E39,F39,G39),"")</f>
        <v/>
      </c>
    </row>
    <row r="40" spans="2:9" hidden="1">
      <c r="B40" s="102" t="str">
        <f>LOOKUP(B39,INICIO!A$10:A$109,INICIO!K$10:K$109)</f>
        <v/>
      </c>
      <c r="C40" s="72" t="s">
        <v>109</v>
      </c>
      <c r="D40" s="73" t="str">
        <f>B41</f>
        <v/>
      </c>
      <c r="E40" s="73" t="str">
        <f>B40</f>
        <v/>
      </c>
      <c r="F40" s="73"/>
      <c r="G40" s="76"/>
      <c r="H40" s="104">
        <f t="shared" si="0"/>
        <v>0</v>
      </c>
      <c r="I40" s="3" t="str">
        <f t="shared" ref="I40" si="31">IF(B42,CONCATENATE(C40,D40," ",E40,F40,G40),"")</f>
        <v/>
      </c>
    </row>
    <row r="41" spans="2:9" hidden="1">
      <c r="B41" s="102" t="str">
        <f>LOOKUP(B39,INICIO!A$10:A$109,INICIO!L$10:L$109)</f>
        <v/>
      </c>
      <c r="C41" s="72" t="s">
        <v>110</v>
      </c>
      <c r="D41" s="73"/>
      <c r="E41" s="73"/>
      <c r="F41" s="73"/>
      <c r="G41" s="76"/>
      <c r="H41" s="104">
        <f t="shared" si="0"/>
        <v>0</v>
      </c>
      <c r="I41" s="3" t="str">
        <f t="shared" ref="I41" si="32">IF(B42,CONCATENATE(C41,D41," ",E41,F41,G41),"")</f>
        <v/>
      </c>
    </row>
    <row r="42" spans="2:9" hidden="1">
      <c r="B42" s="102">
        <f>LOOKUP(B39,INICIO!A$10:A$109,INICIO!J$10:J$109)</f>
        <v>0</v>
      </c>
      <c r="C42" s="72" t="s">
        <v>111</v>
      </c>
      <c r="D42" s="73" t="str">
        <f>CONCATENATE(E39,F39)</f>
        <v/>
      </c>
      <c r="E42" s="73" t="s">
        <v>74</v>
      </c>
      <c r="F42" s="73"/>
      <c r="G42" s="76"/>
      <c r="H42" s="104">
        <f t="shared" si="0"/>
        <v>0</v>
      </c>
      <c r="I42" s="3" t="str">
        <f t="shared" ref="I42" si="33">IF(B42,CONCATENATE(C42,D42," ",E42,F42,G42),"")</f>
        <v/>
      </c>
    </row>
    <row r="43" spans="2:9" hidden="1">
      <c r="B43" s="102">
        <f>LOOKUP(B39,INICIO!A$10:A$109,INICIO!E$10:E$109)</f>
        <v>0</v>
      </c>
      <c r="C43" s="72" t="s">
        <v>112</v>
      </c>
      <c r="D43" s="73" t="str">
        <f>CONCATENATE(E39,F39)</f>
        <v/>
      </c>
      <c r="E43" s="73" t="s">
        <v>75</v>
      </c>
      <c r="F43" s="73"/>
      <c r="G43" s="76"/>
      <c r="H43" s="104">
        <f t="shared" si="0"/>
        <v>0</v>
      </c>
      <c r="I43" s="3" t="str">
        <f t="shared" ref="I43" si="34">IF(B42,CONCATENATE(C43,D43," ",E43,F43,G43),"")</f>
        <v/>
      </c>
    </row>
    <row r="44" spans="2:9" hidden="1">
      <c r="B44" s="103"/>
      <c r="C44" s="74" t="s">
        <v>113</v>
      </c>
      <c r="D44" s="40"/>
      <c r="E44" s="40"/>
      <c r="F44" s="40"/>
      <c r="G44" s="77"/>
      <c r="H44" s="104">
        <f t="shared" si="0"/>
        <v>0</v>
      </c>
      <c r="I44" s="3" t="str">
        <f t="shared" ref="I44" si="35">IF(B42,CONCATENATE(C44,D44," ",E44,F44,G44),"")</f>
        <v/>
      </c>
    </row>
    <row r="45" spans="2:9" hidden="1">
      <c r="H45" s="104">
        <f t="shared" si="0"/>
        <v>0</v>
      </c>
      <c r="I45" s="3" t="str">
        <f t="shared" ref="I45" si="36">IF(ISTEXT(B50),CONCATENATE("    // ",B50),"")</f>
        <v/>
      </c>
    </row>
    <row r="46" spans="2:9" hidden="1">
      <c r="B46" s="101">
        <v>7</v>
      </c>
      <c r="C46" s="70" t="s">
        <v>108</v>
      </c>
      <c r="D46" s="71" t="str">
        <f>B48</f>
        <v/>
      </c>
      <c r="E46" s="71" t="str">
        <f>LOWER(E47)</f>
        <v/>
      </c>
      <c r="F46" s="71"/>
      <c r="G46" s="75" t="s">
        <v>73</v>
      </c>
      <c r="H46" s="104">
        <f t="shared" si="0"/>
        <v>0</v>
      </c>
      <c r="I46" s="3" t="str">
        <f t="shared" ref="I46" si="37">IF(B49,CONCATENATE(C46,D46," ",E46,F46,G46),"")</f>
        <v/>
      </c>
    </row>
    <row r="47" spans="2:9" hidden="1">
      <c r="B47" s="102" t="str">
        <f>LOOKUP(B46,INICIO!A$10:A$109,INICIO!K$10:K$109)</f>
        <v/>
      </c>
      <c r="C47" s="72" t="s">
        <v>109</v>
      </c>
      <c r="D47" s="73" t="str">
        <f>B48</f>
        <v/>
      </c>
      <c r="E47" s="73" t="str">
        <f>B47</f>
        <v/>
      </c>
      <c r="F47" s="73"/>
      <c r="G47" s="76"/>
      <c r="H47" s="104">
        <f t="shared" si="0"/>
        <v>0</v>
      </c>
      <c r="I47" s="3" t="str">
        <f t="shared" ref="I47" si="38">IF(B49,CONCATENATE(C47,D47," ",E47,F47,G47),"")</f>
        <v/>
      </c>
    </row>
    <row r="48" spans="2:9" hidden="1">
      <c r="B48" s="102" t="str">
        <f>LOOKUP(B46,INICIO!A$10:A$109,INICIO!L$10:L$109)</f>
        <v/>
      </c>
      <c r="C48" s="72" t="s">
        <v>110</v>
      </c>
      <c r="D48" s="73"/>
      <c r="E48" s="73"/>
      <c r="F48" s="73"/>
      <c r="G48" s="76"/>
      <c r="H48" s="104">
        <f t="shared" si="0"/>
        <v>0</v>
      </c>
      <c r="I48" s="3" t="str">
        <f t="shared" ref="I48" si="39">IF(B49,CONCATENATE(C48,D48," ",E48,F48,G48),"")</f>
        <v/>
      </c>
    </row>
    <row r="49" spans="2:9" hidden="1">
      <c r="B49" s="102">
        <f>LOOKUP(B46,INICIO!A$10:A$109,INICIO!J$10:J$109)</f>
        <v>0</v>
      </c>
      <c r="C49" s="72" t="s">
        <v>111</v>
      </c>
      <c r="D49" s="73" t="str">
        <f>CONCATENATE(E46,F46)</f>
        <v/>
      </c>
      <c r="E49" s="73" t="s">
        <v>74</v>
      </c>
      <c r="F49" s="73"/>
      <c r="G49" s="76"/>
      <c r="H49" s="104">
        <f t="shared" si="0"/>
        <v>0</v>
      </c>
      <c r="I49" s="3" t="str">
        <f t="shared" ref="I49" si="40">IF(B49,CONCATENATE(C49,D49," ",E49,F49,G49),"")</f>
        <v/>
      </c>
    </row>
    <row r="50" spans="2:9" hidden="1">
      <c r="B50" s="102">
        <f>LOOKUP(B46,INICIO!A$10:A$109,INICIO!E$10:E$109)</f>
        <v>0</v>
      </c>
      <c r="C50" s="72" t="s">
        <v>112</v>
      </c>
      <c r="D50" s="73" t="str">
        <f>CONCATENATE(E46,F46)</f>
        <v/>
      </c>
      <c r="E50" s="73" t="s">
        <v>75</v>
      </c>
      <c r="F50" s="73"/>
      <c r="G50" s="76"/>
      <c r="H50" s="104">
        <f t="shared" si="0"/>
        <v>0</v>
      </c>
      <c r="I50" s="3" t="str">
        <f t="shared" ref="I50" si="41">IF(B49,CONCATENATE(C50,D50," ",E50,F50,G50),"")</f>
        <v/>
      </c>
    </row>
    <row r="51" spans="2:9" hidden="1">
      <c r="B51" s="103"/>
      <c r="C51" s="74" t="s">
        <v>113</v>
      </c>
      <c r="D51" s="40"/>
      <c r="E51" s="40"/>
      <c r="F51" s="40"/>
      <c r="G51" s="77"/>
      <c r="H51" s="104">
        <f t="shared" si="0"/>
        <v>0</v>
      </c>
      <c r="I51" s="3" t="str">
        <f t="shared" ref="I51" si="42">IF(B49,CONCATENATE(C51,D51," ",E51,F51,G51),"")</f>
        <v/>
      </c>
    </row>
    <row r="52" spans="2:9" hidden="1">
      <c r="H52" s="104">
        <f t="shared" si="0"/>
        <v>0</v>
      </c>
      <c r="I52" s="3" t="str">
        <f t="shared" ref="I52" si="43">IF(ISTEXT(B57),CONCATENATE("    // ",B57),"")</f>
        <v/>
      </c>
    </row>
    <row r="53" spans="2:9" hidden="1">
      <c r="B53" s="101">
        <v>8</v>
      </c>
      <c r="C53" s="70" t="s">
        <v>108</v>
      </c>
      <c r="D53" s="71" t="str">
        <f>B55</f>
        <v/>
      </c>
      <c r="E53" s="71" t="str">
        <f>LOWER(E54)</f>
        <v/>
      </c>
      <c r="F53" s="71"/>
      <c r="G53" s="75" t="s">
        <v>73</v>
      </c>
      <c r="H53" s="104">
        <f t="shared" si="0"/>
        <v>0</v>
      </c>
      <c r="I53" s="3" t="str">
        <f t="shared" ref="I53" si="44">IF(B56,CONCATENATE(C53,D53," ",E53,F53,G53),"")</f>
        <v/>
      </c>
    </row>
    <row r="54" spans="2:9" hidden="1">
      <c r="B54" s="102" t="str">
        <f>LOOKUP(B53,INICIO!A$10:A$109,INICIO!K$10:K$109)</f>
        <v/>
      </c>
      <c r="C54" s="72" t="s">
        <v>109</v>
      </c>
      <c r="D54" s="73" t="str">
        <f>B55</f>
        <v/>
      </c>
      <c r="E54" s="73" t="str">
        <f>B54</f>
        <v/>
      </c>
      <c r="F54" s="73"/>
      <c r="G54" s="76"/>
      <c r="H54" s="104">
        <f t="shared" si="0"/>
        <v>0</v>
      </c>
      <c r="I54" s="3" t="str">
        <f t="shared" ref="I54" si="45">IF(B56,CONCATENATE(C54,D54," ",E54,F54,G54),"")</f>
        <v/>
      </c>
    </row>
    <row r="55" spans="2:9" hidden="1">
      <c r="B55" s="102" t="str">
        <f>LOOKUP(B53,INICIO!A$10:A$109,INICIO!L$10:L$109)</f>
        <v/>
      </c>
      <c r="C55" s="72" t="s">
        <v>110</v>
      </c>
      <c r="D55" s="73"/>
      <c r="E55" s="73"/>
      <c r="F55" s="73"/>
      <c r="G55" s="76"/>
      <c r="H55" s="104">
        <f t="shared" si="0"/>
        <v>0</v>
      </c>
      <c r="I55" s="3" t="str">
        <f t="shared" ref="I55" si="46">IF(B56,CONCATENATE(C55,D55," ",E55,F55,G55),"")</f>
        <v/>
      </c>
    </row>
    <row r="56" spans="2:9" hidden="1">
      <c r="B56" s="102">
        <f>LOOKUP(B53,INICIO!A$10:A$109,INICIO!J$10:J$109)</f>
        <v>0</v>
      </c>
      <c r="C56" s="72" t="s">
        <v>111</v>
      </c>
      <c r="D56" s="73" t="str">
        <f>CONCATENATE(E53,F53)</f>
        <v/>
      </c>
      <c r="E56" s="73" t="s">
        <v>74</v>
      </c>
      <c r="F56" s="73"/>
      <c r="G56" s="76"/>
      <c r="H56" s="104">
        <f t="shared" si="0"/>
        <v>0</v>
      </c>
      <c r="I56" s="3" t="str">
        <f t="shared" ref="I56" si="47">IF(B56,CONCATENATE(C56,D56," ",E56,F56,G56),"")</f>
        <v/>
      </c>
    </row>
    <row r="57" spans="2:9" hidden="1">
      <c r="B57" s="102">
        <f>LOOKUP(B53,INICIO!A$10:A$109,INICIO!E$10:E$109)</f>
        <v>0</v>
      </c>
      <c r="C57" s="72" t="s">
        <v>112</v>
      </c>
      <c r="D57" s="73" t="str">
        <f>CONCATENATE(E53,F53)</f>
        <v/>
      </c>
      <c r="E57" s="73" t="s">
        <v>75</v>
      </c>
      <c r="F57" s="73"/>
      <c r="G57" s="76"/>
      <c r="H57" s="104">
        <f t="shared" si="0"/>
        <v>0</v>
      </c>
      <c r="I57" s="3" t="str">
        <f t="shared" ref="I57" si="48">IF(B56,CONCATENATE(C57,D57," ",E57,F57,G57),"")</f>
        <v/>
      </c>
    </row>
    <row r="58" spans="2:9" hidden="1">
      <c r="B58" s="103"/>
      <c r="C58" s="74" t="s">
        <v>113</v>
      </c>
      <c r="D58" s="40"/>
      <c r="E58" s="40"/>
      <c r="F58" s="40"/>
      <c r="G58" s="77"/>
      <c r="H58" s="104">
        <f t="shared" si="0"/>
        <v>0</v>
      </c>
      <c r="I58" s="3" t="str">
        <f t="shared" ref="I58" si="49">IF(B56,CONCATENATE(C58,D58," ",E58,F58,G58),"")</f>
        <v/>
      </c>
    </row>
    <row r="59" spans="2:9" hidden="1">
      <c r="H59" s="104">
        <f t="shared" si="0"/>
        <v>0</v>
      </c>
      <c r="I59" s="3" t="str">
        <f t="shared" ref="I59" si="50">IF(ISTEXT(B64),CONCATENATE("    // ",B64),"")</f>
        <v/>
      </c>
    </row>
    <row r="60" spans="2:9" hidden="1">
      <c r="B60" s="101">
        <v>9</v>
      </c>
      <c r="C60" s="70" t="s">
        <v>108</v>
      </c>
      <c r="D60" s="71" t="str">
        <f>B62</f>
        <v/>
      </c>
      <c r="E60" s="71" t="str">
        <f>LOWER(E61)</f>
        <v/>
      </c>
      <c r="F60" s="71"/>
      <c r="G60" s="75" t="s">
        <v>73</v>
      </c>
      <c r="H60" s="104">
        <f t="shared" si="0"/>
        <v>0</v>
      </c>
      <c r="I60" s="3" t="str">
        <f t="shared" ref="I60" si="51">IF(B63,CONCATENATE(C60,D60," ",E60,F60,G60),"")</f>
        <v/>
      </c>
    </row>
    <row r="61" spans="2:9" hidden="1">
      <c r="B61" s="102" t="str">
        <f>LOOKUP(B60,INICIO!A$10:A$109,INICIO!K$10:K$109)</f>
        <v/>
      </c>
      <c r="C61" s="72" t="s">
        <v>109</v>
      </c>
      <c r="D61" s="73" t="str">
        <f>B62</f>
        <v/>
      </c>
      <c r="E61" s="73" t="str">
        <f>B61</f>
        <v/>
      </c>
      <c r="F61" s="73"/>
      <c r="G61" s="76"/>
      <c r="H61" s="104">
        <f t="shared" si="0"/>
        <v>0</v>
      </c>
      <c r="I61" s="3" t="str">
        <f t="shared" ref="I61" si="52">IF(B63,CONCATENATE(C61,D61," ",E61,F61,G61),"")</f>
        <v/>
      </c>
    </row>
    <row r="62" spans="2:9" hidden="1">
      <c r="B62" s="102" t="str">
        <f>LOOKUP(B60,INICIO!A$10:A$109,INICIO!L$10:L$109)</f>
        <v/>
      </c>
      <c r="C62" s="72" t="s">
        <v>110</v>
      </c>
      <c r="D62" s="73"/>
      <c r="E62" s="73"/>
      <c r="F62" s="73"/>
      <c r="G62" s="76"/>
      <c r="H62" s="104">
        <f t="shared" si="0"/>
        <v>0</v>
      </c>
      <c r="I62" s="3" t="str">
        <f t="shared" ref="I62" si="53">IF(B63,CONCATENATE(C62,D62," ",E62,F62,G62),"")</f>
        <v/>
      </c>
    </row>
    <row r="63" spans="2:9" hidden="1">
      <c r="B63" s="102">
        <f>LOOKUP(B60,INICIO!A$10:A$109,INICIO!J$10:J$109)</f>
        <v>0</v>
      </c>
      <c r="C63" s="72" t="s">
        <v>111</v>
      </c>
      <c r="D63" s="73" t="str">
        <f>CONCATENATE(E60,F60)</f>
        <v/>
      </c>
      <c r="E63" s="73" t="s">
        <v>74</v>
      </c>
      <c r="F63" s="73"/>
      <c r="G63" s="76"/>
      <c r="H63" s="104">
        <f t="shared" si="0"/>
        <v>0</v>
      </c>
      <c r="I63" s="3" t="str">
        <f t="shared" ref="I63" si="54">IF(B63,CONCATENATE(C63,D63," ",E63,F63,G63),"")</f>
        <v/>
      </c>
    </row>
    <row r="64" spans="2:9" hidden="1">
      <c r="B64" s="102">
        <f>LOOKUP(B60,INICIO!A$10:A$109,INICIO!E$10:E$109)</f>
        <v>0</v>
      </c>
      <c r="C64" s="72" t="s">
        <v>112</v>
      </c>
      <c r="D64" s="73" t="str">
        <f>CONCATENATE(E60,F60)</f>
        <v/>
      </c>
      <c r="E64" s="73" t="s">
        <v>75</v>
      </c>
      <c r="F64" s="73"/>
      <c r="G64" s="76"/>
      <c r="H64" s="104">
        <f t="shared" si="0"/>
        <v>0</v>
      </c>
      <c r="I64" s="3" t="str">
        <f t="shared" ref="I64" si="55">IF(B63,CONCATENATE(C64,D64," ",E64,F64,G64),"")</f>
        <v/>
      </c>
    </row>
    <row r="65" spans="2:9" hidden="1">
      <c r="B65" s="103"/>
      <c r="C65" s="74" t="s">
        <v>113</v>
      </c>
      <c r="D65" s="40"/>
      <c r="E65" s="40"/>
      <c r="F65" s="40"/>
      <c r="G65" s="77"/>
      <c r="H65" s="104">
        <f t="shared" si="0"/>
        <v>0</v>
      </c>
      <c r="I65" s="3" t="str">
        <f t="shared" ref="I65" si="56">IF(B63,CONCATENATE(C65,D65," ",E65,F65,G65),"")</f>
        <v/>
      </c>
    </row>
    <row r="66" spans="2:9" hidden="1">
      <c r="H66" s="104">
        <f t="shared" si="0"/>
        <v>0</v>
      </c>
      <c r="I66" s="3" t="str">
        <f t="shared" ref="I66" si="57">IF(ISTEXT(B71),CONCATENATE("    // ",B71),"")</f>
        <v/>
      </c>
    </row>
    <row r="67" spans="2:9" hidden="1">
      <c r="B67" s="101">
        <v>10</v>
      </c>
      <c r="C67" s="70" t="s">
        <v>108</v>
      </c>
      <c r="D67" s="71" t="str">
        <f>B69</f>
        <v/>
      </c>
      <c r="E67" s="71" t="str">
        <f>LOWER(E68)</f>
        <v/>
      </c>
      <c r="F67" s="71"/>
      <c r="G67" s="75" t="s">
        <v>73</v>
      </c>
      <c r="H67" s="104">
        <f t="shared" si="0"/>
        <v>0</v>
      </c>
      <c r="I67" s="3" t="str">
        <f t="shared" ref="I67" si="58">IF(B70,CONCATENATE(C67,D67," ",E67,F67,G67),"")</f>
        <v/>
      </c>
    </row>
    <row r="68" spans="2:9" hidden="1">
      <c r="B68" s="102" t="str">
        <f>LOOKUP(B67,INICIO!A$10:A$109,INICIO!K$10:K$109)</f>
        <v/>
      </c>
      <c r="C68" s="72" t="s">
        <v>109</v>
      </c>
      <c r="D68" s="73" t="str">
        <f>B69</f>
        <v/>
      </c>
      <c r="E68" s="73" t="str">
        <f>B68</f>
        <v/>
      </c>
      <c r="F68" s="73"/>
      <c r="G68" s="76"/>
      <c r="H68" s="104">
        <f t="shared" ref="H68:H131" si="59">IF(I68&lt;&gt;"",1,0)</f>
        <v>0</v>
      </c>
      <c r="I68" s="3" t="str">
        <f t="shared" ref="I68" si="60">IF(B70,CONCATENATE(C68,D68," ",E68,F68,G68),"")</f>
        <v/>
      </c>
    </row>
    <row r="69" spans="2:9" hidden="1">
      <c r="B69" s="102" t="str">
        <f>LOOKUP(B67,INICIO!A$10:A$109,INICIO!L$10:L$109)</f>
        <v/>
      </c>
      <c r="C69" s="72" t="s">
        <v>110</v>
      </c>
      <c r="D69" s="73"/>
      <c r="E69" s="73"/>
      <c r="F69" s="73"/>
      <c r="G69" s="76"/>
      <c r="H69" s="104">
        <f t="shared" si="59"/>
        <v>0</v>
      </c>
      <c r="I69" s="3" t="str">
        <f t="shared" ref="I69" si="61">IF(B70,CONCATENATE(C69,D69," ",E69,F69,G69),"")</f>
        <v/>
      </c>
    </row>
    <row r="70" spans="2:9" hidden="1">
      <c r="B70" s="102">
        <f>LOOKUP(B67,INICIO!A$10:A$109,INICIO!J$10:J$109)</f>
        <v>0</v>
      </c>
      <c r="C70" s="72" t="s">
        <v>111</v>
      </c>
      <c r="D70" s="73" t="str">
        <f>CONCATENATE(E67,F67)</f>
        <v/>
      </c>
      <c r="E70" s="73" t="s">
        <v>74</v>
      </c>
      <c r="F70" s="73"/>
      <c r="G70" s="76"/>
      <c r="H70" s="104">
        <f t="shared" si="59"/>
        <v>0</v>
      </c>
      <c r="I70" s="3" t="str">
        <f t="shared" ref="I70" si="62">IF(B70,CONCATENATE(C70,D70," ",E70,F70,G70),"")</f>
        <v/>
      </c>
    </row>
    <row r="71" spans="2:9" hidden="1">
      <c r="B71" s="102">
        <f>LOOKUP(B67,INICIO!A$10:A$109,INICIO!E$10:E$109)</f>
        <v>0</v>
      </c>
      <c r="C71" s="72" t="s">
        <v>112</v>
      </c>
      <c r="D71" s="73" t="str">
        <f>CONCATENATE(E67,F67)</f>
        <v/>
      </c>
      <c r="E71" s="73" t="s">
        <v>75</v>
      </c>
      <c r="F71" s="73"/>
      <c r="G71" s="76"/>
      <c r="H71" s="104">
        <f t="shared" si="59"/>
        <v>0</v>
      </c>
      <c r="I71" s="3" t="str">
        <f t="shared" ref="I71" si="63">IF(B70,CONCATENATE(C71,D71," ",E71,F71,G71),"")</f>
        <v/>
      </c>
    </row>
    <row r="72" spans="2:9" hidden="1">
      <c r="B72" s="103"/>
      <c r="C72" s="74" t="s">
        <v>113</v>
      </c>
      <c r="D72" s="40"/>
      <c r="E72" s="40"/>
      <c r="F72" s="40"/>
      <c r="G72" s="77"/>
      <c r="H72" s="104">
        <f t="shared" si="59"/>
        <v>0</v>
      </c>
      <c r="I72" s="3" t="str">
        <f t="shared" ref="I72" si="64">IF(B70,CONCATENATE(C72,D72," ",E72,F72,G72),"")</f>
        <v/>
      </c>
    </row>
    <row r="73" spans="2:9" hidden="1">
      <c r="H73" s="104">
        <f t="shared" si="59"/>
        <v>0</v>
      </c>
      <c r="I73" s="3" t="str">
        <f t="shared" ref="I73" si="65">IF(ISTEXT(B78),CONCATENATE("    // ",B78),"")</f>
        <v/>
      </c>
    </row>
    <row r="74" spans="2:9" hidden="1">
      <c r="B74" s="101">
        <v>11</v>
      </c>
      <c r="C74" s="70" t="s">
        <v>108</v>
      </c>
      <c r="D74" s="71" t="str">
        <f t="shared" ref="D74" si="66">B76</f>
        <v/>
      </c>
      <c r="E74" s="71" t="str">
        <f t="shared" ref="E74" si="67">LOWER(E75)</f>
        <v/>
      </c>
      <c r="F74" s="71"/>
      <c r="G74" s="75" t="s">
        <v>73</v>
      </c>
      <c r="H74" s="104">
        <f t="shared" si="59"/>
        <v>0</v>
      </c>
      <c r="I74" s="3" t="str">
        <f t="shared" ref="I74" si="68">IF(B77,CONCATENATE(C74,D74," ",E74,F74,G74),"")</f>
        <v/>
      </c>
    </row>
    <row r="75" spans="2:9" hidden="1">
      <c r="B75" s="102" t="str">
        <f>LOOKUP(B74,INICIO!A$10:A$109,INICIO!K$10:K$109)</f>
        <v/>
      </c>
      <c r="C75" s="72" t="s">
        <v>109</v>
      </c>
      <c r="D75" s="73" t="str">
        <f t="shared" ref="D75" si="69">B76</f>
        <v/>
      </c>
      <c r="E75" s="73" t="str">
        <f t="shared" ref="E75" si="70">B75</f>
        <v/>
      </c>
      <c r="F75" s="73"/>
      <c r="G75" s="76"/>
      <c r="H75" s="104">
        <f t="shared" si="59"/>
        <v>0</v>
      </c>
      <c r="I75" s="3" t="str">
        <f t="shared" ref="I75" si="71">IF(B77,CONCATENATE(C75,D75," ",E75,F75,G75),"")</f>
        <v/>
      </c>
    </row>
    <row r="76" spans="2:9" hidden="1">
      <c r="B76" s="102" t="str">
        <f>LOOKUP(B74,INICIO!A$10:A$109,INICIO!L$10:L$109)</f>
        <v/>
      </c>
      <c r="C76" s="72" t="s">
        <v>110</v>
      </c>
      <c r="D76" s="73"/>
      <c r="E76" s="73"/>
      <c r="F76" s="73"/>
      <c r="G76" s="76"/>
      <c r="H76" s="104">
        <f t="shared" si="59"/>
        <v>0</v>
      </c>
      <c r="I76" s="3" t="str">
        <f t="shared" ref="I76" si="72">IF(B77,CONCATENATE(C76,D76," ",E76,F76,G76),"")</f>
        <v/>
      </c>
    </row>
    <row r="77" spans="2:9" hidden="1">
      <c r="B77" s="102">
        <f>LOOKUP(B74,INICIO!A$10:A$109,INICIO!J$10:J$109)</f>
        <v>0</v>
      </c>
      <c r="C77" s="72" t="s">
        <v>111</v>
      </c>
      <c r="D77" s="73" t="str">
        <f t="shared" ref="D77" si="73">CONCATENATE(E74,F74)</f>
        <v/>
      </c>
      <c r="E77" s="73" t="s">
        <v>74</v>
      </c>
      <c r="F77" s="73"/>
      <c r="G77" s="76"/>
      <c r="H77" s="104">
        <f t="shared" si="59"/>
        <v>0</v>
      </c>
      <c r="I77" s="3" t="str">
        <f t="shared" ref="I77" si="74">IF(B77,CONCATENATE(C77,D77," ",E77,F77,G77),"")</f>
        <v/>
      </c>
    </row>
    <row r="78" spans="2:9" hidden="1">
      <c r="B78" s="102">
        <f>LOOKUP(B74,INICIO!A$10:A$109,INICIO!E$10:E$109)</f>
        <v>0</v>
      </c>
      <c r="C78" s="72" t="s">
        <v>112</v>
      </c>
      <c r="D78" s="73" t="str">
        <f t="shared" ref="D78" si="75">CONCATENATE(E74,F74)</f>
        <v/>
      </c>
      <c r="E78" s="73" t="s">
        <v>75</v>
      </c>
      <c r="F78" s="73"/>
      <c r="G78" s="76"/>
      <c r="H78" s="104">
        <f t="shared" si="59"/>
        <v>0</v>
      </c>
      <c r="I78" s="3" t="str">
        <f t="shared" ref="I78" si="76">IF(B77,CONCATENATE(C78,D78," ",E78,F78,G78),"")</f>
        <v/>
      </c>
    </row>
    <row r="79" spans="2:9" hidden="1">
      <c r="B79" s="103"/>
      <c r="C79" s="74" t="s">
        <v>113</v>
      </c>
      <c r="D79" s="40"/>
      <c r="E79" s="40"/>
      <c r="F79" s="40"/>
      <c r="G79" s="77"/>
      <c r="H79" s="104">
        <f t="shared" si="59"/>
        <v>0</v>
      </c>
      <c r="I79" s="3" t="str">
        <f t="shared" ref="I79" si="77">IF(B77,CONCATENATE(C79,D79," ",E79,F79,G79),"")</f>
        <v/>
      </c>
    </row>
    <row r="80" spans="2:9" hidden="1">
      <c r="H80" s="104">
        <f t="shared" si="59"/>
        <v>0</v>
      </c>
      <c r="I80" s="3" t="str">
        <f t="shared" ref="I80" si="78">IF(ISTEXT(B85),CONCATENATE("    // ",B85),"")</f>
        <v/>
      </c>
    </row>
    <row r="81" spans="2:9" hidden="1">
      <c r="B81" s="101">
        <v>12</v>
      </c>
      <c r="C81" s="70" t="s">
        <v>108</v>
      </c>
      <c r="D81" s="71" t="str">
        <f t="shared" ref="D81" si="79">B83</f>
        <v/>
      </c>
      <c r="E81" s="71" t="str">
        <f t="shared" ref="E81" si="80">LOWER(E82)</f>
        <v/>
      </c>
      <c r="F81" s="71"/>
      <c r="G81" s="75" t="s">
        <v>73</v>
      </c>
      <c r="H81" s="104">
        <f t="shared" si="59"/>
        <v>0</v>
      </c>
      <c r="I81" s="3" t="str">
        <f t="shared" ref="I81" si="81">IF(B84,CONCATENATE(C81,D81," ",E81,F81,G81),"")</f>
        <v/>
      </c>
    </row>
    <row r="82" spans="2:9" hidden="1">
      <c r="B82" s="102" t="str">
        <f>LOOKUP(B81,INICIO!A$10:A$109,INICIO!K$10:K$109)</f>
        <v/>
      </c>
      <c r="C82" s="72" t="s">
        <v>109</v>
      </c>
      <c r="D82" s="73" t="str">
        <f t="shared" ref="D82" si="82">B83</f>
        <v/>
      </c>
      <c r="E82" s="73" t="str">
        <f t="shared" ref="E82" si="83">B82</f>
        <v/>
      </c>
      <c r="F82" s="73"/>
      <c r="G82" s="76"/>
      <c r="H82" s="104">
        <f t="shared" si="59"/>
        <v>0</v>
      </c>
      <c r="I82" s="3" t="str">
        <f t="shared" ref="I82" si="84">IF(B84,CONCATENATE(C82,D82," ",E82,F82,G82),"")</f>
        <v/>
      </c>
    </row>
    <row r="83" spans="2:9" hidden="1">
      <c r="B83" s="102" t="str">
        <f>LOOKUP(B81,INICIO!A$10:A$109,INICIO!L$10:L$109)</f>
        <v/>
      </c>
      <c r="C83" s="72" t="s">
        <v>110</v>
      </c>
      <c r="D83" s="73"/>
      <c r="E83" s="73"/>
      <c r="F83" s="73"/>
      <c r="G83" s="76"/>
      <c r="H83" s="104">
        <f t="shared" si="59"/>
        <v>0</v>
      </c>
      <c r="I83" s="3" t="str">
        <f t="shared" ref="I83" si="85">IF(B84,CONCATENATE(C83,D83," ",E83,F83,G83),"")</f>
        <v/>
      </c>
    </row>
    <row r="84" spans="2:9" hidden="1">
      <c r="B84" s="102">
        <f>LOOKUP(B81,INICIO!A$10:A$109,INICIO!J$10:J$109)</f>
        <v>0</v>
      </c>
      <c r="C84" s="72" t="s">
        <v>111</v>
      </c>
      <c r="D84" s="73" t="str">
        <f t="shared" ref="D84" si="86">CONCATENATE(E81,F81)</f>
        <v/>
      </c>
      <c r="E84" s="73" t="s">
        <v>74</v>
      </c>
      <c r="F84" s="73"/>
      <c r="G84" s="76"/>
      <c r="H84" s="104">
        <f t="shared" si="59"/>
        <v>0</v>
      </c>
      <c r="I84" s="3" t="str">
        <f t="shared" ref="I84" si="87">IF(B84,CONCATENATE(C84,D84," ",E84,F84,G84),"")</f>
        <v/>
      </c>
    </row>
    <row r="85" spans="2:9" hidden="1">
      <c r="B85" s="102">
        <f>LOOKUP(B81,INICIO!A$10:A$109,INICIO!E$10:E$109)</f>
        <v>0</v>
      </c>
      <c r="C85" s="72" t="s">
        <v>112</v>
      </c>
      <c r="D85" s="73" t="str">
        <f t="shared" ref="D85" si="88">CONCATENATE(E81,F81)</f>
        <v/>
      </c>
      <c r="E85" s="73" t="s">
        <v>75</v>
      </c>
      <c r="F85" s="73"/>
      <c r="G85" s="76"/>
      <c r="H85" s="104">
        <f t="shared" si="59"/>
        <v>0</v>
      </c>
      <c r="I85" s="3" t="str">
        <f t="shared" ref="I85" si="89">IF(B84,CONCATENATE(C85,D85," ",E85,F85,G85),"")</f>
        <v/>
      </c>
    </row>
    <row r="86" spans="2:9" hidden="1">
      <c r="B86" s="103"/>
      <c r="C86" s="74" t="s">
        <v>113</v>
      </c>
      <c r="D86" s="40"/>
      <c r="E86" s="40"/>
      <c r="F86" s="40"/>
      <c r="G86" s="77"/>
      <c r="H86" s="104">
        <f t="shared" si="59"/>
        <v>0</v>
      </c>
      <c r="I86" s="3" t="str">
        <f t="shared" ref="I86" si="90">IF(B84,CONCATENATE(C86,D86," ",E86,F86,G86),"")</f>
        <v/>
      </c>
    </row>
    <row r="87" spans="2:9" hidden="1">
      <c r="H87" s="104">
        <f t="shared" si="59"/>
        <v>0</v>
      </c>
      <c r="I87" s="3" t="str">
        <f t="shared" ref="I87" si="91">IF(ISTEXT(B92),CONCATENATE("    // ",B92),"")</f>
        <v/>
      </c>
    </row>
    <row r="88" spans="2:9" hidden="1">
      <c r="B88" s="101">
        <v>13</v>
      </c>
      <c r="C88" s="70" t="s">
        <v>108</v>
      </c>
      <c r="D88" s="71" t="str">
        <f t="shared" ref="D88" si="92">B90</f>
        <v/>
      </c>
      <c r="E88" s="71" t="str">
        <f t="shared" ref="E88" si="93">LOWER(E89)</f>
        <v/>
      </c>
      <c r="F88" s="71"/>
      <c r="G88" s="75" t="s">
        <v>73</v>
      </c>
      <c r="H88" s="104">
        <f t="shared" si="59"/>
        <v>0</v>
      </c>
      <c r="I88" s="3" t="str">
        <f t="shared" ref="I88" si="94">IF(B91,CONCATENATE(C88,D88," ",E88,F88,G88),"")</f>
        <v/>
      </c>
    </row>
    <row r="89" spans="2:9" hidden="1">
      <c r="B89" s="102" t="str">
        <f>LOOKUP(B88,INICIO!A$10:A$109,INICIO!K$10:K$109)</f>
        <v/>
      </c>
      <c r="C89" s="72" t="s">
        <v>109</v>
      </c>
      <c r="D89" s="73" t="str">
        <f t="shared" ref="D89" si="95">B90</f>
        <v/>
      </c>
      <c r="E89" s="73" t="str">
        <f t="shared" ref="E89" si="96">B89</f>
        <v/>
      </c>
      <c r="F89" s="73"/>
      <c r="G89" s="76"/>
      <c r="H89" s="104">
        <f t="shared" si="59"/>
        <v>0</v>
      </c>
      <c r="I89" s="3" t="str">
        <f t="shared" ref="I89" si="97">IF(B91,CONCATENATE(C89,D89," ",E89,F89,G89),"")</f>
        <v/>
      </c>
    </row>
    <row r="90" spans="2:9" hidden="1">
      <c r="B90" s="102" t="str">
        <f>LOOKUP(B88,INICIO!A$10:A$109,INICIO!L$10:L$109)</f>
        <v/>
      </c>
      <c r="C90" s="72" t="s">
        <v>110</v>
      </c>
      <c r="D90" s="73"/>
      <c r="E90" s="73"/>
      <c r="F90" s="73"/>
      <c r="G90" s="76"/>
      <c r="H90" s="104">
        <f t="shared" si="59"/>
        <v>0</v>
      </c>
      <c r="I90" s="3" t="str">
        <f t="shared" ref="I90" si="98">IF(B91,CONCATENATE(C90,D90," ",E90,F90,G90),"")</f>
        <v/>
      </c>
    </row>
    <row r="91" spans="2:9" hidden="1">
      <c r="B91" s="102">
        <f>LOOKUP(B88,INICIO!A$10:A$109,INICIO!J$10:J$109)</f>
        <v>0</v>
      </c>
      <c r="C91" s="72" t="s">
        <v>111</v>
      </c>
      <c r="D91" s="73" t="str">
        <f t="shared" ref="D91" si="99">CONCATENATE(E88,F88)</f>
        <v/>
      </c>
      <c r="E91" s="73" t="s">
        <v>74</v>
      </c>
      <c r="F91" s="73"/>
      <c r="G91" s="76"/>
      <c r="H91" s="104">
        <f t="shared" si="59"/>
        <v>0</v>
      </c>
      <c r="I91" s="3" t="str">
        <f t="shared" ref="I91" si="100">IF(B91,CONCATENATE(C91,D91," ",E91,F91,G91),"")</f>
        <v/>
      </c>
    </row>
    <row r="92" spans="2:9" hidden="1">
      <c r="B92" s="102">
        <f>LOOKUP(B88,INICIO!A$10:A$109,INICIO!E$10:E$109)</f>
        <v>0</v>
      </c>
      <c r="C92" s="72" t="s">
        <v>112</v>
      </c>
      <c r="D92" s="73" t="str">
        <f t="shared" ref="D92" si="101">CONCATENATE(E88,F88)</f>
        <v/>
      </c>
      <c r="E92" s="73" t="s">
        <v>75</v>
      </c>
      <c r="F92" s="73"/>
      <c r="G92" s="76"/>
      <c r="H92" s="104">
        <f t="shared" si="59"/>
        <v>0</v>
      </c>
      <c r="I92" s="3" t="str">
        <f t="shared" ref="I92" si="102">IF(B91,CONCATENATE(C92,D92," ",E92,F92,G92),"")</f>
        <v/>
      </c>
    </row>
    <row r="93" spans="2:9" hidden="1">
      <c r="B93" s="103"/>
      <c r="C93" s="74" t="s">
        <v>113</v>
      </c>
      <c r="D93" s="40"/>
      <c r="E93" s="40"/>
      <c r="F93" s="40"/>
      <c r="G93" s="77"/>
      <c r="H93" s="104">
        <f t="shared" si="59"/>
        <v>0</v>
      </c>
      <c r="I93" s="3" t="str">
        <f t="shared" ref="I93" si="103">IF(B91,CONCATENATE(C93,D93," ",E93,F93,G93),"")</f>
        <v/>
      </c>
    </row>
    <row r="94" spans="2:9" hidden="1">
      <c r="H94" s="104">
        <f t="shared" si="59"/>
        <v>0</v>
      </c>
      <c r="I94" s="3" t="str">
        <f t="shared" ref="I94" si="104">IF(ISTEXT(B99),CONCATENATE("    // ",B99),"")</f>
        <v/>
      </c>
    </row>
    <row r="95" spans="2:9" hidden="1">
      <c r="B95" s="101">
        <v>14</v>
      </c>
      <c r="C95" s="70" t="s">
        <v>108</v>
      </c>
      <c r="D95" s="71" t="str">
        <f t="shared" ref="D95" si="105">B97</f>
        <v/>
      </c>
      <c r="E95" s="71" t="str">
        <f t="shared" ref="E95" si="106">LOWER(E96)</f>
        <v/>
      </c>
      <c r="F95" s="71"/>
      <c r="G95" s="75" t="s">
        <v>73</v>
      </c>
      <c r="H95" s="104">
        <f t="shared" si="59"/>
        <v>0</v>
      </c>
      <c r="I95" s="3" t="str">
        <f t="shared" ref="I95" si="107">IF(B98,CONCATENATE(C95,D95," ",E95,F95,G95),"")</f>
        <v/>
      </c>
    </row>
    <row r="96" spans="2:9" hidden="1">
      <c r="B96" s="102" t="str">
        <f>LOOKUP(B95,INICIO!A$10:A$109,INICIO!K$10:K$109)</f>
        <v/>
      </c>
      <c r="C96" s="72" t="s">
        <v>109</v>
      </c>
      <c r="D96" s="73" t="str">
        <f t="shared" ref="D96" si="108">B97</f>
        <v/>
      </c>
      <c r="E96" s="73" t="str">
        <f t="shared" ref="E96" si="109">B96</f>
        <v/>
      </c>
      <c r="F96" s="73"/>
      <c r="G96" s="76"/>
      <c r="H96" s="104">
        <f t="shared" si="59"/>
        <v>0</v>
      </c>
      <c r="I96" s="3" t="str">
        <f t="shared" ref="I96" si="110">IF(B98,CONCATENATE(C96,D96," ",E96,F96,G96),"")</f>
        <v/>
      </c>
    </row>
    <row r="97" spans="2:9" hidden="1">
      <c r="B97" s="102" t="str">
        <f>LOOKUP(B95,INICIO!A$10:A$109,INICIO!L$10:L$109)</f>
        <v/>
      </c>
      <c r="C97" s="72" t="s">
        <v>110</v>
      </c>
      <c r="D97" s="73"/>
      <c r="E97" s="73"/>
      <c r="F97" s="73"/>
      <c r="G97" s="76"/>
      <c r="H97" s="104">
        <f t="shared" si="59"/>
        <v>0</v>
      </c>
      <c r="I97" s="3" t="str">
        <f t="shared" ref="I97" si="111">IF(B98,CONCATENATE(C97,D97," ",E97,F97,G97),"")</f>
        <v/>
      </c>
    </row>
    <row r="98" spans="2:9" hidden="1">
      <c r="B98" s="102">
        <f>LOOKUP(B95,INICIO!A$10:A$109,INICIO!J$10:J$109)</f>
        <v>0</v>
      </c>
      <c r="C98" s="72" t="s">
        <v>111</v>
      </c>
      <c r="D98" s="73" t="str">
        <f t="shared" ref="D98" si="112">CONCATENATE(E95,F95)</f>
        <v/>
      </c>
      <c r="E98" s="73" t="s">
        <v>74</v>
      </c>
      <c r="F98" s="73"/>
      <c r="G98" s="76"/>
      <c r="H98" s="104">
        <f t="shared" si="59"/>
        <v>0</v>
      </c>
      <c r="I98" s="3" t="str">
        <f t="shared" ref="I98" si="113">IF(B98,CONCATENATE(C98,D98," ",E98,F98,G98),"")</f>
        <v/>
      </c>
    </row>
    <row r="99" spans="2:9" hidden="1">
      <c r="B99" s="102">
        <f>LOOKUP(B95,INICIO!A$10:A$109,INICIO!E$10:E$109)</f>
        <v>0</v>
      </c>
      <c r="C99" s="72" t="s">
        <v>112</v>
      </c>
      <c r="D99" s="73" t="str">
        <f t="shared" ref="D99" si="114">CONCATENATE(E95,F95)</f>
        <v/>
      </c>
      <c r="E99" s="73" t="s">
        <v>75</v>
      </c>
      <c r="F99" s="73"/>
      <c r="G99" s="76"/>
      <c r="H99" s="104">
        <f t="shared" si="59"/>
        <v>0</v>
      </c>
      <c r="I99" s="3" t="str">
        <f t="shared" ref="I99" si="115">IF(B98,CONCATENATE(C99,D99," ",E99,F99,G99),"")</f>
        <v/>
      </c>
    </row>
    <row r="100" spans="2:9" hidden="1">
      <c r="B100" s="103"/>
      <c r="C100" s="74" t="s">
        <v>113</v>
      </c>
      <c r="D100" s="40"/>
      <c r="E100" s="40"/>
      <c r="F100" s="40"/>
      <c r="G100" s="77"/>
      <c r="H100" s="104">
        <f t="shared" si="59"/>
        <v>0</v>
      </c>
      <c r="I100" s="3" t="str">
        <f t="shared" ref="I100" si="116">IF(B98,CONCATENATE(C100,D100," ",E100,F100,G100),"")</f>
        <v/>
      </c>
    </row>
    <row r="101" spans="2:9" hidden="1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hidden="1">
      <c r="B102" s="101">
        <v>15</v>
      </c>
      <c r="C102" s="70" t="s">
        <v>108</v>
      </c>
      <c r="D102" s="71" t="str">
        <f t="shared" ref="D102" si="118">B104</f>
        <v/>
      </c>
      <c r="E102" s="71" t="str">
        <f t="shared" ref="E102" si="119">LOWER(E103)</f>
        <v/>
      </c>
      <c r="F102" s="71"/>
      <c r="G102" s="75" t="s">
        <v>73</v>
      </c>
      <c r="H102" s="104">
        <f t="shared" si="59"/>
        <v>0</v>
      </c>
      <c r="I102" s="3" t="str">
        <f t="shared" ref="I102" si="120">IF(B105,CONCATENATE(C102,D102," ",E102,F102,G102),"")</f>
        <v/>
      </c>
    </row>
    <row r="103" spans="2:9" hidden="1">
      <c r="B103" s="102" t="str">
        <f>LOOKUP(B102,INICIO!A$10:A$109,INICIO!K$10:K$109)</f>
        <v/>
      </c>
      <c r="C103" s="72" t="s">
        <v>109</v>
      </c>
      <c r="D103" s="73" t="str">
        <f t="shared" ref="D103" si="121">B104</f>
        <v/>
      </c>
      <c r="E103" s="73" t="str">
        <f t="shared" ref="E103" si="122">B103</f>
        <v/>
      </c>
      <c r="F103" s="73"/>
      <c r="G103" s="76"/>
      <c r="H103" s="104">
        <f t="shared" si="59"/>
        <v>0</v>
      </c>
      <c r="I103" s="3" t="str">
        <f t="shared" ref="I103" si="123">IF(B105,CONCATENATE(C103,D103," ",E103,F103,G103),"")</f>
        <v/>
      </c>
    </row>
    <row r="104" spans="2:9" hidden="1">
      <c r="B104" s="102" t="str">
        <f>LOOKUP(B102,INICIO!A$10:A$109,INICIO!L$10:L$109)</f>
        <v/>
      </c>
      <c r="C104" s="72" t="s">
        <v>110</v>
      </c>
      <c r="D104" s="73"/>
      <c r="E104" s="73"/>
      <c r="F104" s="73"/>
      <c r="G104" s="76"/>
      <c r="H104" s="104">
        <f t="shared" si="59"/>
        <v>0</v>
      </c>
      <c r="I104" s="3" t="str">
        <f t="shared" ref="I104" si="124">IF(B105,CONCATENATE(C104,D104," ",E104,F104,G104),"")</f>
        <v/>
      </c>
    </row>
    <row r="105" spans="2:9" hidden="1">
      <c r="B105" s="102">
        <f>LOOKUP(B102,INICIO!A$10:A$109,INICIO!J$10:J$109)</f>
        <v>0</v>
      </c>
      <c r="C105" s="72" t="s">
        <v>111</v>
      </c>
      <c r="D105" s="73" t="str">
        <f t="shared" ref="D105" si="125">CONCATENATE(E102,F102)</f>
        <v/>
      </c>
      <c r="E105" s="73" t="s">
        <v>74</v>
      </c>
      <c r="F105" s="73"/>
      <c r="G105" s="76"/>
      <c r="H105" s="104">
        <f t="shared" si="59"/>
        <v>0</v>
      </c>
      <c r="I105" s="3" t="str">
        <f t="shared" ref="I105" si="126">IF(B105,CONCATENATE(C105,D105," ",E105,F105,G105),"")</f>
        <v/>
      </c>
    </row>
    <row r="106" spans="2:9" hidden="1">
      <c r="B106" s="102">
        <f>LOOKUP(B102,INICIO!A$10:A$109,INICIO!E$10:E$109)</f>
        <v>0</v>
      </c>
      <c r="C106" s="72" t="s">
        <v>112</v>
      </c>
      <c r="D106" s="73" t="str">
        <f t="shared" ref="D106" si="127">CONCATENATE(E102,F102)</f>
        <v/>
      </c>
      <c r="E106" s="73" t="s">
        <v>75</v>
      </c>
      <c r="F106" s="73"/>
      <c r="G106" s="76"/>
      <c r="H106" s="104">
        <f t="shared" si="59"/>
        <v>0</v>
      </c>
      <c r="I106" s="3" t="str">
        <f t="shared" ref="I106" si="128">IF(B105,CONCATENATE(C106,D106," ",E106,F106,G106),"")</f>
        <v/>
      </c>
    </row>
    <row r="107" spans="2:9" hidden="1">
      <c r="B107" s="103"/>
      <c r="C107" s="74" t="s">
        <v>113</v>
      </c>
      <c r="D107" s="40"/>
      <c r="E107" s="40"/>
      <c r="F107" s="40"/>
      <c r="G107" s="77"/>
      <c r="H107" s="104">
        <f t="shared" si="59"/>
        <v>0</v>
      </c>
      <c r="I107" s="3" t="str">
        <f t="shared" ref="I107" si="129">IF(B105,CONCATENATE(C107,D107," ",E107,F107,G107),"")</f>
        <v/>
      </c>
    </row>
    <row r="108" spans="2:9" hidden="1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hidden="1">
      <c r="B109" s="101">
        <v>16</v>
      </c>
      <c r="C109" s="70" t="s">
        <v>108</v>
      </c>
      <c r="D109" s="71" t="str">
        <f t="shared" ref="D109" si="131">B111</f>
        <v/>
      </c>
      <c r="E109" s="71" t="str">
        <f t="shared" ref="E109" si="132">LOWER(E110)</f>
        <v/>
      </c>
      <c r="F109" s="71"/>
      <c r="G109" s="75" t="s">
        <v>73</v>
      </c>
      <c r="H109" s="104">
        <f t="shared" si="59"/>
        <v>0</v>
      </c>
      <c r="I109" s="3" t="str">
        <f t="shared" ref="I109" si="133">IF(B112,CONCATENATE(C109,D109," ",E109,F109,G109),"")</f>
        <v/>
      </c>
    </row>
    <row r="110" spans="2:9" hidden="1">
      <c r="B110" s="102" t="str">
        <f>LOOKUP(B109,INICIO!A$10:A$109,INICIO!K$10:K$109)</f>
        <v/>
      </c>
      <c r="C110" s="72" t="s">
        <v>109</v>
      </c>
      <c r="D110" s="73" t="str">
        <f t="shared" ref="D110" si="134">B111</f>
        <v/>
      </c>
      <c r="E110" s="73" t="str">
        <f t="shared" ref="E110" si="135">B110</f>
        <v/>
      </c>
      <c r="F110" s="73"/>
      <c r="G110" s="76"/>
      <c r="H110" s="104">
        <f t="shared" si="59"/>
        <v>0</v>
      </c>
      <c r="I110" s="3" t="str">
        <f t="shared" ref="I110" si="136">IF(B112,CONCATENATE(C110,D110," ",E110,F110,G110),"")</f>
        <v/>
      </c>
    </row>
    <row r="111" spans="2:9" hidden="1">
      <c r="B111" s="102" t="str">
        <f>LOOKUP(B109,INICIO!A$10:A$109,INICIO!L$10:L$109)</f>
        <v/>
      </c>
      <c r="C111" s="72" t="s">
        <v>110</v>
      </c>
      <c r="D111" s="73"/>
      <c r="E111" s="73"/>
      <c r="F111" s="73"/>
      <c r="G111" s="76"/>
      <c r="H111" s="104">
        <f t="shared" si="59"/>
        <v>0</v>
      </c>
      <c r="I111" s="3" t="str">
        <f t="shared" ref="I111" si="137">IF(B112,CONCATENATE(C111,D111," ",E111,F111,G111),"")</f>
        <v/>
      </c>
    </row>
    <row r="112" spans="2:9" hidden="1">
      <c r="B112" s="102">
        <f>LOOKUP(B109,INICIO!A$10:A$109,INICIO!J$10:J$109)</f>
        <v>0</v>
      </c>
      <c r="C112" s="72" t="s">
        <v>111</v>
      </c>
      <c r="D112" s="73" t="str">
        <f t="shared" ref="D112" si="138">CONCATENATE(E109,F109)</f>
        <v/>
      </c>
      <c r="E112" s="73" t="s">
        <v>74</v>
      </c>
      <c r="F112" s="73"/>
      <c r="G112" s="76"/>
      <c r="H112" s="104">
        <f t="shared" si="59"/>
        <v>0</v>
      </c>
      <c r="I112" s="3" t="str">
        <f t="shared" ref="I112" si="139">IF(B112,CONCATENATE(C112,D112," ",E112,F112,G112),"")</f>
        <v/>
      </c>
    </row>
    <row r="113" spans="2:9" hidden="1">
      <c r="B113" s="102">
        <f>LOOKUP(B109,INICIO!A$10:A$109,INICIO!E$10:E$109)</f>
        <v>0</v>
      </c>
      <c r="C113" s="72" t="s">
        <v>112</v>
      </c>
      <c r="D113" s="73" t="str">
        <f t="shared" ref="D113" si="140">CONCATENATE(E109,F109)</f>
        <v/>
      </c>
      <c r="E113" s="73" t="s">
        <v>75</v>
      </c>
      <c r="F113" s="73"/>
      <c r="G113" s="76"/>
      <c r="H113" s="104">
        <f t="shared" si="59"/>
        <v>0</v>
      </c>
      <c r="I113" s="3" t="str">
        <f t="shared" ref="I113" si="141">IF(B112,CONCATENATE(C113,D113," ",E113,F113,G113),"")</f>
        <v/>
      </c>
    </row>
    <row r="114" spans="2:9" hidden="1">
      <c r="B114" s="103"/>
      <c r="C114" s="74" t="s">
        <v>113</v>
      </c>
      <c r="D114" s="40"/>
      <c r="E114" s="40"/>
      <c r="F114" s="40"/>
      <c r="G114" s="77"/>
      <c r="H114" s="104">
        <f t="shared" si="59"/>
        <v>0</v>
      </c>
      <c r="I114" s="3" t="str">
        <f t="shared" ref="I114" si="142">IF(B112,CONCATENATE(C114,D114," ",E114,F114,G114),"")</f>
        <v/>
      </c>
    </row>
    <row r="115" spans="2:9" hidden="1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hidden="1">
      <c r="B116" s="101">
        <v>17</v>
      </c>
      <c r="C116" s="70" t="s">
        <v>108</v>
      </c>
      <c r="D116" s="71" t="str">
        <f t="shared" ref="D116" si="144">B118</f>
        <v/>
      </c>
      <c r="E116" s="71" t="str">
        <f t="shared" ref="E116" si="145">LOWER(E117)</f>
        <v/>
      </c>
      <c r="F116" s="71"/>
      <c r="G116" s="75" t="s">
        <v>73</v>
      </c>
      <c r="H116" s="104">
        <f t="shared" si="59"/>
        <v>0</v>
      </c>
      <c r="I116" s="3" t="str">
        <f t="shared" ref="I116" si="146">IF(B119,CONCATENATE(C116,D116," ",E116,F116,G116),"")</f>
        <v/>
      </c>
    </row>
    <row r="117" spans="2:9" hidden="1">
      <c r="B117" s="102" t="str">
        <f>LOOKUP(B116,INICIO!A$10:A$109,INICIO!K$10:K$109)</f>
        <v/>
      </c>
      <c r="C117" s="72" t="s">
        <v>109</v>
      </c>
      <c r="D117" s="73" t="str">
        <f t="shared" ref="D117" si="147">B118</f>
        <v/>
      </c>
      <c r="E117" s="73" t="str">
        <f t="shared" ref="E117" si="148">B117</f>
        <v/>
      </c>
      <c r="F117" s="73"/>
      <c r="G117" s="76"/>
      <c r="H117" s="104">
        <f t="shared" si="59"/>
        <v>0</v>
      </c>
      <c r="I117" s="3" t="str">
        <f t="shared" ref="I117" si="149">IF(B119,CONCATENATE(C117,D117," ",E117,F117,G117),"")</f>
        <v/>
      </c>
    </row>
    <row r="118" spans="2:9" hidden="1">
      <c r="B118" s="102" t="str">
        <f>LOOKUP(B116,INICIO!A$10:A$109,INICIO!L$10:L$109)</f>
        <v/>
      </c>
      <c r="C118" s="72" t="s">
        <v>110</v>
      </c>
      <c r="D118" s="73"/>
      <c r="E118" s="73"/>
      <c r="F118" s="73"/>
      <c r="G118" s="76"/>
      <c r="H118" s="104">
        <f t="shared" si="59"/>
        <v>0</v>
      </c>
      <c r="I118" s="3" t="str">
        <f t="shared" ref="I118" si="150">IF(B119,CONCATENATE(C118,D118," ",E118,F118,G118),"")</f>
        <v/>
      </c>
    </row>
    <row r="119" spans="2:9" hidden="1">
      <c r="B119" s="102">
        <f>LOOKUP(B116,INICIO!A$10:A$109,INICIO!J$10:J$109)</f>
        <v>0</v>
      </c>
      <c r="C119" s="72" t="s">
        <v>111</v>
      </c>
      <c r="D119" s="73" t="str">
        <f t="shared" ref="D119" si="151">CONCATENATE(E116,F116)</f>
        <v/>
      </c>
      <c r="E119" s="73" t="s">
        <v>74</v>
      </c>
      <c r="F119" s="73"/>
      <c r="G119" s="76"/>
      <c r="H119" s="104">
        <f t="shared" si="59"/>
        <v>0</v>
      </c>
      <c r="I119" s="3" t="str">
        <f t="shared" ref="I119" si="152">IF(B119,CONCATENATE(C119,D119," ",E119,F119,G119),"")</f>
        <v/>
      </c>
    </row>
    <row r="120" spans="2:9" hidden="1">
      <c r="B120" s="102">
        <f>LOOKUP(B116,INICIO!A$10:A$109,INICIO!E$10:E$109)</f>
        <v>0</v>
      </c>
      <c r="C120" s="72" t="s">
        <v>112</v>
      </c>
      <c r="D120" s="73" t="str">
        <f t="shared" ref="D120" si="153">CONCATENATE(E116,F116)</f>
        <v/>
      </c>
      <c r="E120" s="73" t="s">
        <v>75</v>
      </c>
      <c r="F120" s="73"/>
      <c r="G120" s="76"/>
      <c r="H120" s="104">
        <f t="shared" si="59"/>
        <v>0</v>
      </c>
      <c r="I120" s="3" t="str">
        <f t="shared" ref="I120" si="154">IF(B119,CONCATENATE(C120,D120," ",E120,F120,G120),"")</f>
        <v/>
      </c>
    </row>
    <row r="121" spans="2:9" hidden="1">
      <c r="B121" s="103"/>
      <c r="C121" s="74" t="s">
        <v>113</v>
      </c>
      <c r="D121" s="40"/>
      <c r="E121" s="40"/>
      <c r="F121" s="40"/>
      <c r="G121" s="77"/>
      <c r="H121" s="104">
        <f t="shared" si="59"/>
        <v>0</v>
      </c>
      <c r="I121" s="3" t="str">
        <f t="shared" ref="I121" si="155">IF(B119,CONCATENATE(C121,D121," ",E121,F121,G121),"")</f>
        <v/>
      </c>
    </row>
    <row r="122" spans="2:9" hidden="1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hidden="1">
      <c r="B123" s="101">
        <v>18</v>
      </c>
      <c r="C123" s="70" t="s">
        <v>108</v>
      </c>
      <c r="D123" s="71" t="str">
        <f t="shared" ref="D123" si="157">B125</f>
        <v/>
      </c>
      <c r="E123" s="71" t="str">
        <f t="shared" ref="E123" si="158">LOWER(E124)</f>
        <v/>
      </c>
      <c r="F123" s="71"/>
      <c r="G123" s="75" t="s">
        <v>73</v>
      </c>
      <c r="H123" s="104">
        <f t="shared" si="59"/>
        <v>0</v>
      </c>
      <c r="I123" s="3" t="str">
        <f t="shared" ref="I123" si="159">IF(B126,CONCATENATE(C123,D123," ",E123,F123,G123),"")</f>
        <v/>
      </c>
    </row>
    <row r="124" spans="2:9" hidden="1">
      <c r="B124" s="102" t="str">
        <f>LOOKUP(B123,INICIO!A$10:A$109,INICIO!K$10:K$109)</f>
        <v/>
      </c>
      <c r="C124" s="72" t="s">
        <v>109</v>
      </c>
      <c r="D124" s="73" t="str">
        <f t="shared" ref="D124" si="160">B125</f>
        <v/>
      </c>
      <c r="E124" s="73" t="str">
        <f t="shared" ref="E124" si="161">B124</f>
        <v/>
      </c>
      <c r="F124" s="73"/>
      <c r="G124" s="76"/>
      <c r="H124" s="104">
        <f t="shared" si="59"/>
        <v>0</v>
      </c>
      <c r="I124" s="3" t="str">
        <f t="shared" ref="I124" si="162">IF(B126,CONCATENATE(C124,D124," ",E124,F124,G124),"")</f>
        <v/>
      </c>
    </row>
    <row r="125" spans="2:9" hidden="1">
      <c r="B125" s="102" t="str">
        <f>LOOKUP(B123,INICIO!A$10:A$109,INICIO!L$10:L$109)</f>
        <v/>
      </c>
      <c r="C125" s="72" t="s">
        <v>110</v>
      </c>
      <c r="D125" s="73"/>
      <c r="E125" s="73"/>
      <c r="F125" s="73"/>
      <c r="G125" s="76"/>
      <c r="H125" s="104">
        <f t="shared" si="59"/>
        <v>0</v>
      </c>
      <c r="I125" s="3" t="str">
        <f t="shared" ref="I125" si="163">IF(B126,CONCATENATE(C125,D125," ",E125,F125,G125),"")</f>
        <v/>
      </c>
    </row>
    <row r="126" spans="2:9" hidden="1">
      <c r="B126" s="102">
        <f>LOOKUP(B123,INICIO!A$10:A$109,INICIO!J$10:J$109)</f>
        <v>0</v>
      </c>
      <c r="C126" s="72" t="s">
        <v>111</v>
      </c>
      <c r="D126" s="73" t="str">
        <f t="shared" ref="D126" si="164">CONCATENATE(E123,F123)</f>
        <v/>
      </c>
      <c r="E126" s="73" t="s">
        <v>74</v>
      </c>
      <c r="F126" s="73"/>
      <c r="G126" s="76"/>
      <c r="H126" s="104">
        <f t="shared" si="59"/>
        <v>0</v>
      </c>
      <c r="I126" s="3" t="str">
        <f t="shared" ref="I126" si="165">IF(B126,CONCATENATE(C126,D126," ",E126,F126,G126),"")</f>
        <v/>
      </c>
    </row>
    <row r="127" spans="2:9" hidden="1">
      <c r="B127" s="102">
        <f>LOOKUP(B123,INICIO!A$10:A$109,INICIO!E$10:E$109)</f>
        <v>0</v>
      </c>
      <c r="C127" s="72" t="s">
        <v>112</v>
      </c>
      <c r="D127" s="73" t="str">
        <f t="shared" ref="D127" si="166">CONCATENATE(E123,F123)</f>
        <v/>
      </c>
      <c r="E127" s="73" t="s">
        <v>75</v>
      </c>
      <c r="F127" s="73"/>
      <c r="G127" s="76"/>
      <c r="H127" s="104">
        <f t="shared" si="59"/>
        <v>0</v>
      </c>
      <c r="I127" s="3" t="str">
        <f t="shared" ref="I127" si="167">IF(B126,CONCATENATE(C127,D127," ",E127,F127,G127),"")</f>
        <v/>
      </c>
    </row>
    <row r="128" spans="2:9" hidden="1">
      <c r="B128" s="103"/>
      <c r="C128" s="74" t="s">
        <v>113</v>
      </c>
      <c r="D128" s="40"/>
      <c r="E128" s="40"/>
      <c r="F128" s="40"/>
      <c r="G128" s="77"/>
      <c r="H128" s="104">
        <f t="shared" si="59"/>
        <v>0</v>
      </c>
      <c r="I128" s="3" t="str">
        <f t="shared" ref="I128" si="168">IF(B126,CONCATENATE(C128,D128," ",E128,F128,G128),"")</f>
        <v/>
      </c>
    </row>
    <row r="129" spans="2:9" hidden="1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>
      <c r="B130" s="101">
        <v>19</v>
      </c>
      <c r="C130" s="70" t="s">
        <v>108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73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>
      <c r="B131" s="102" t="str">
        <f>LOOKUP(B130,INICIO!A$10:A$109,INICIO!K$10:K$109)</f>
        <v/>
      </c>
      <c r="C131" s="72" t="s">
        <v>109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>
      <c r="B132" s="102" t="str">
        <f>LOOKUP(B130,INICIO!A$10:A$109,INICIO!L$10:L$109)</f>
        <v/>
      </c>
      <c r="C132" s="72" t="s">
        <v>110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>
      <c r="B133" s="102">
        <f>LOOKUP(B130,INICIO!A$10:A$109,INICIO!J$10:J$109)</f>
        <v>0</v>
      </c>
      <c r="C133" s="72" t="s">
        <v>111</v>
      </c>
      <c r="D133" s="73" t="str">
        <f t="shared" ref="D133" si="178">CONCATENATE(E130,F130)</f>
        <v/>
      </c>
      <c r="E133" s="73" t="s">
        <v>74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>
      <c r="B134" s="102">
        <f>LOOKUP(B130,INICIO!A$10:A$109,INICIO!E$10:E$109)</f>
        <v>0</v>
      </c>
      <c r="C134" s="72" t="s">
        <v>112</v>
      </c>
      <c r="D134" s="73" t="str">
        <f t="shared" ref="D134" si="180">CONCATENATE(E130,F130)</f>
        <v/>
      </c>
      <c r="E134" s="73" t="s">
        <v>75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>
      <c r="B135" s="103"/>
      <c r="C135" s="74" t="s">
        <v>113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>
      <c r="B137" s="101">
        <v>20</v>
      </c>
      <c r="C137" s="70" t="s">
        <v>108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73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>
      <c r="B138" s="102" t="str">
        <f>LOOKUP(B137,INICIO!A$10:A$109,INICIO!K$10:K$109)</f>
        <v/>
      </c>
      <c r="C138" s="72" t="s">
        <v>109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>
      <c r="B139" s="102" t="str">
        <f>LOOKUP(B137,INICIO!A$10:A$109,INICIO!L$10:L$109)</f>
        <v/>
      </c>
      <c r="C139" s="72" t="s">
        <v>110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>
      <c r="B140" s="102">
        <f>LOOKUP(B137,INICIO!A$10:A$109,INICIO!J$10:J$109)</f>
        <v>0</v>
      </c>
      <c r="C140" s="72" t="s">
        <v>111</v>
      </c>
      <c r="D140" s="73" t="str">
        <f t="shared" ref="D140" si="191">CONCATENATE(E137,F137)</f>
        <v/>
      </c>
      <c r="E140" s="73" t="s">
        <v>74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>
      <c r="B141" s="102">
        <f>LOOKUP(B137,INICIO!A$10:A$109,INICIO!E$10:E$109)</f>
        <v>0</v>
      </c>
      <c r="C141" s="72" t="s">
        <v>112</v>
      </c>
      <c r="D141" s="73" t="str">
        <f t="shared" ref="D141" si="193">CONCATENATE(E137,F137)</f>
        <v/>
      </c>
      <c r="E141" s="73" t="s">
        <v>75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>
      <c r="B142" s="103"/>
      <c r="C142" s="74" t="s">
        <v>113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>
      <c r="B144" s="101">
        <v>21</v>
      </c>
      <c r="C144" s="70" t="s">
        <v>108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73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>
      <c r="B145" s="102" t="str">
        <f>LOOKUP(B144,INICIO!A$10:A$109,INICIO!K$10:K$109)</f>
        <v/>
      </c>
      <c r="C145" s="72" t="s">
        <v>109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>
      <c r="B146" s="102" t="str">
        <f>LOOKUP(B144,INICIO!A$10:A$109,INICIO!L$10:L$109)</f>
        <v/>
      </c>
      <c r="C146" s="72" t="s">
        <v>110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>
      <c r="B147" s="102">
        <f>LOOKUP(B144,INICIO!A$10:A$109,INICIO!J$10:J$109)</f>
        <v>0</v>
      </c>
      <c r="C147" s="72" t="s">
        <v>111</v>
      </c>
      <c r="D147" s="73" t="str">
        <f t="shared" ref="D147" si="204">CONCATENATE(E144,F144)</f>
        <v/>
      </c>
      <c r="E147" s="73" t="s">
        <v>74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>
      <c r="B148" s="102">
        <f>LOOKUP(B144,INICIO!A$10:A$109,INICIO!E$10:E$109)</f>
        <v>0</v>
      </c>
      <c r="C148" s="72" t="s">
        <v>112</v>
      </c>
      <c r="D148" s="73" t="str">
        <f t="shared" ref="D148" si="206">CONCATENATE(E144,F144)</f>
        <v/>
      </c>
      <c r="E148" s="73" t="s">
        <v>75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>
      <c r="B149" s="103"/>
      <c r="C149" s="74" t="s">
        <v>113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>
      <c r="B151" s="101">
        <v>22</v>
      </c>
      <c r="C151" s="70" t="s">
        <v>108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73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>
      <c r="B152" s="102" t="str">
        <f>LOOKUP(B151,INICIO!A$10:A$109,INICIO!K$10:K$109)</f>
        <v/>
      </c>
      <c r="C152" s="72" t="s">
        <v>109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>
      <c r="B153" s="102" t="str">
        <f>LOOKUP(B151,INICIO!A$10:A$109,INICIO!L$10:L$109)</f>
        <v/>
      </c>
      <c r="C153" s="72" t="s">
        <v>110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>
      <c r="B154" s="102">
        <f>LOOKUP(B151,INICIO!A$10:A$109,INICIO!J$10:J$109)</f>
        <v>0</v>
      </c>
      <c r="C154" s="72" t="s">
        <v>111</v>
      </c>
      <c r="D154" s="73" t="str">
        <f t="shared" ref="D154" si="217">CONCATENATE(E151,F151)</f>
        <v/>
      </c>
      <c r="E154" s="73" t="s">
        <v>74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>
      <c r="B155" s="102">
        <f>LOOKUP(B151,INICIO!A$10:A$109,INICIO!E$10:E$109)</f>
        <v>0</v>
      </c>
      <c r="C155" s="72" t="s">
        <v>112</v>
      </c>
      <c r="D155" s="73" t="str">
        <f t="shared" ref="D155" si="219">CONCATENATE(E151,F151)</f>
        <v/>
      </c>
      <c r="E155" s="73" t="s">
        <v>75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>
      <c r="B156" s="103"/>
      <c r="C156" s="74" t="s">
        <v>113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>
      <c r="B158" s="101">
        <v>23</v>
      </c>
      <c r="C158" s="70" t="s">
        <v>108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73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>
      <c r="B159" s="102" t="str">
        <f>LOOKUP(B158,INICIO!A$10:A$109,INICIO!K$10:K$109)</f>
        <v/>
      </c>
      <c r="C159" s="72" t="s">
        <v>109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>
      <c r="B160" s="102" t="str">
        <f>LOOKUP(B158,INICIO!A$10:A$109,INICIO!L$10:L$109)</f>
        <v/>
      </c>
      <c r="C160" s="72" t="s">
        <v>110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>
      <c r="B161" s="102">
        <f>LOOKUP(B158,INICIO!A$10:A$109,INICIO!J$10:J$109)</f>
        <v>0</v>
      </c>
      <c r="C161" s="72" t="s">
        <v>111</v>
      </c>
      <c r="D161" s="73" t="str">
        <f t="shared" ref="D161" si="230">CONCATENATE(E158,F158)</f>
        <v/>
      </c>
      <c r="E161" s="73" t="s">
        <v>74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>
      <c r="B162" s="102">
        <f>LOOKUP(B158,INICIO!A$10:A$109,INICIO!E$10:E$109)</f>
        <v>0</v>
      </c>
      <c r="C162" s="72" t="s">
        <v>112</v>
      </c>
      <c r="D162" s="73" t="str">
        <f t="shared" ref="D162" si="232">CONCATENATE(E158,F158)</f>
        <v/>
      </c>
      <c r="E162" s="73" t="s">
        <v>75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>
      <c r="B163" s="103"/>
      <c r="C163" s="74" t="s">
        <v>113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>
      <c r="B165" s="101">
        <v>24</v>
      </c>
      <c r="C165" s="70" t="s">
        <v>108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73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>
      <c r="B166" s="102" t="str">
        <f>LOOKUP(B165,INICIO!A$10:A$109,INICIO!K$10:K$109)</f>
        <v/>
      </c>
      <c r="C166" s="72" t="s">
        <v>109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>
      <c r="B167" s="102" t="str">
        <f>LOOKUP(B165,INICIO!A$10:A$109,INICIO!L$10:L$109)</f>
        <v/>
      </c>
      <c r="C167" s="72" t="s">
        <v>110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>
      <c r="B168" s="102">
        <f>LOOKUP(B165,INICIO!A$10:A$109,INICIO!J$10:J$109)</f>
        <v>0</v>
      </c>
      <c r="C168" s="72" t="s">
        <v>111</v>
      </c>
      <c r="D168" s="73" t="str">
        <f t="shared" ref="D168" si="243">CONCATENATE(E165,F165)</f>
        <v/>
      </c>
      <c r="E168" s="73" t="s">
        <v>74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>
      <c r="B169" s="102">
        <f>LOOKUP(B165,INICIO!A$10:A$109,INICIO!E$10:E$109)</f>
        <v>0</v>
      </c>
      <c r="C169" s="72" t="s">
        <v>112</v>
      </c>
      <c r="D169" s="73" t="str">
        <f t="shared" ref="D169" si="245">CONCATENATE(E165,F165)</f>
        <v/>
      </c>
      <c r="E169" s="73" t="s">
        <v>75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>
      <c r="B170" s="103"/>
      <c r="C170" s="74" t="s">
        <v>113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>
      <c r="B172" s="101">
        <v>25</v>
      </c>
      <c r="C172" s="70" t="s">
        <v>108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73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>
      <c r="B173" s="102" t="str">
        <f>LOOKUP(B172,INICIO!A$10:A$109,INICIO!K$10:K$109)</f>
        <v/>
      </c>
      <c r="C173" s="72" t="s">
        <v>109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>
      <c r="B174" s="102" t="str">
        <f>LOOKUP(B172,INICIO!A$10:A$109,INICIO!L$10:L$109)</f>
        <v/>
      </c>
      <c r="C174" s="72" t="s">
        <v>110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>
      <c r="B175" s="102">
        <f>LOOKUP(B172,INICIO!A$10:A$109,INICIO!J$10:J$109)</f>
        <v>0</v>
      </c>
      <c r="C175" s="72" t="s">
        <v>111</v>
      </c>
      <c r="D175" s="73" t="str">
        <f t="shared" ref="D175" si="256">CONCATENATE(E172,F172)</f>
        <v/>
      </c>
      <c r="E175" s="73" t="s">
        <v>74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>
      <c r="B176" s="102">
        <f>LOOKUP(B172,INICIO!A$10:A$109,INICIO!E$10:E$109)</f>
        <v>0</v>
      </c>
      <c r="C176" s="72" t="s">
        <v>112</v>
      </c>
      <c r="D176" s="73" t="str">
        <f t="shared" ref="D176" si="258">CONCATENATE(E172,F172)</f>
        <v/>
      </c>
      <c r="E176" s="73" t="s">
        <v>75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>
      <c r="B177" s="103"/>
      <c r="C177" s="74" t="s">
        <v>113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>
      <c r="B179" s="101">
        <v>26</v>
      </c>
      <c r="C179" s="70" t="s">
        <v>108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73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>
      <c r="B180" s="102" t="str">
        <f>LOOKUP(B179,INICIO!A$10:A$109,INICIO!K$10:K$109)</f>
        <v/>
      </c>
      <c r="C180" s="72" t="s">
        <v>109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>
      <c r="B181" s="102" t="str">
        <f>LOOKUP(B179,INICIO!A$10:A$109,INICIO!L$10:L$109)</f>
        <v/>
      </c>
      <c r="C181" s="72" t="s">
        <v>110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>
      <c r="B182" s="102">
        <f>LOOKUP(B179,INICIO!A$10:A$109,INICIO!J$10:J$109)</f>
        <v>0</v>
      </c>
      <c r="C182" s="72" t="s">
        <v>111</v>
      </c>
      <c r="D182" s="73" t="str">
        <f t="shared" ref="D182" si="269">CONCATENATE(E179,F179)</f>
        <v/>
      </c>
      <c r="E182" s="73" t="s">
        <v>74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>
      <c r="B183" s="102">
        <f>LOOKUP(B179,INICIO!A$10:A$109,INICIO!E$10:E$109)</f>
        <v>0</v>
      </c>
      <c r="C183" s="72" t="s">
        <v>112</v>
      </c>
      <c r="D183" s="73" t="str">
        <f t="shared" ref="D183" si="271">CONCATENATE(E179,F179)</f>
        <v/>
      </c>
      <c r="E183" s="73" t="s">
        <v>75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>
      <c r="B184" s="103"/>
      <c r="C184" s="74" t="s">
        <v>113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>
      <c r="B186" s="101">
        <v>27</v>
      </c>
      <c r="C186" s="70" t="s">
        <v>108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73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>
      <c r="B187" s="102" t="str">
        <f>LOOKUP(B186,INICIO!A$10:A$109,INICIO!K$10:K$109)</f>
        <v/>
      </c>
      <c r="C187" s="72" t="s">
        <v>109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>
      <c r="B188" s="102" t="str">
        <f>LOOKUP(B186,INICIO!A$10:A$109,INICIO!L$10:L$109)</f>
        <v/>
      </c>
      <c r="C188" s="72" t="s">
        <v>110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>
      <c r="B189" s="102">
        <f>LOOKUP(B186,INICIO!A$10:A$109,INICIO!J$10:J$109)</f>
        <v>0</v>
      </c>
      <c r="C189" s="72" t="s">
        <v>111</v>
      </c>
      <c r="D189" s="73" t="str">
        <f t="shared" ref="D189" si="282">CONCATENATE(E186,F186)</f>
        <v/>
      </c>
      <c r="E189" s="73" t="s">
        <v>74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>
      <c r="B190" s="102">
        <f>LOOKUP(B186,INICIO!A$10:A$109,INICIO!E$10:E$109)</f>
        <v>0</v>
      </c>
      <c r="C190" s="72" t="s">
        <v>112</v>
      </c>
      <c r="D190" s="73" t="str">
        <f t="shared" ref="D190" si="284">CONCATENATE(E186,F186)</f>
        <v/>
      </c>
      <c r="E190" s="73" t="s">
        <v>75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>
      <c r="B191" s="103"/>
      <c r="C191" s="74" t="s">
        <v>113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>
      <c r="B193" s="101">
        <v>28</v>
      </c>
      <c r="C193" s="70" t="s">
        <v>108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73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>
      <c r="B194" s="102" t="str">
        <f>LOOKUP(B193,INICIO!A$10:A$109,INICIO!K$10:K$109)</f>
        <v/>
      </c>
      <c r="C194" s="72" t="s">
        <v>109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>
      <c r="B195" s="102" t="str">
        <f>LOOKUP(B193,INICIO!A$10:A$109,INICIO!L$10:L$109)</f>
        <v/>
      </c>
      <c r="C195" s="72" t="s">
        <v>110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>
      <c r="B196" s="102">
        <f>LOOKUP(B193,INICIO!A$10:A$109,INICIO!J$10:J$109)</f>
        <v>0</v>
      </c>
      <c r="C196" s="72" t="s">
        <v>111</v>
      </c>
      <c r="D196" s="73" t="str">
        <f t="shared" ref="D196" si="295">CONCATENATE(E193,F193)</f>
        <v/>
      </c>
      <c r="E196" s="73" t="s">
        <v>74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>
      <c r="B197" s="102">
        <f>LOOKUP(B193,INICIO!A$10:A$109,INICIO!E$10:E$109)</f>
        <v>0</v>
      </c>
      <c r="C197" s="72" t="s">
        <v>112</v>
      </c>
      <c r="D197" s="73" t="str">
        <f t="shared" ref="D197" si="298">CONCATENATE(E193,F193)</f>
        <v/>
      </c>
      <c r="E197" s="73" t="s">
        <v>75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>
      <c r="B198" s="103"/>
      <c r="C198" s="74" t="s">
        <v>113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>
      <c r="B200" s="101">
        <v>29</v>
      </c>
      <c r="C200" s="70" t="s">
        <v>108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73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>
      <c r="B201" s="102" t="str">
        <f>LOOKUP(B200,INICIO!A$10:A$109,INICIO!K$10:K$109)</f>
        <v/>
      </c>
      <c r="C201" s="72" t="s">
        <v>109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>
      <c r="B202" s="102" t="str">
        <f>LOOKUP(B200,INICIO!A$10:A$109,INICIO!L$10:L$109)</f>
        <v/>
      </c>
      <c r="C202" s="72" t="s">
        <v>110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>
      <c r="B203" s="102">
        <f>LOOKUP(B200,INICIO!A$10:A$109,INICIO!J$10:J$109)</f>
        <v>0</v>
      </c>
      <c r="C203" s="72" t="s">
        <v>111</v>
      </c>
      <c r="D203" s="73" t="str">
        <f t="shared" ref="D203" si="309">CONCATENATE(E200,F200)</f>
        <v/>
      </c>
      <c r="E203" s="73" t="s">
        <v>74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>
      <c r="B204" s="102">
        <f>LOOKUP(B200,INICIO!A$10:A$109,INICIO!E$10:E$109)</f>
        <v>0</v>
      </c>
      <c r="C204" s="72" t="s">
        <v>112</v>
      </c>
      <c r="D204" s="73" t="str">
        <f t="shared" ref="D204" si="311">CONCATENATE(E200,F200)</f>
        <v/>
      </c>
      <c r="E204" s="73" t="s">
        <v>75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>
      <c r="B205" s="103"/>
      <c r="C205" s="74" t="s">
        <v>113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>
      <c r="B207" s="101">
        <v>30</v>
      </c>
      <c r="C207" s="70" t="s">
        <v>108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73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>
      <c r="B208" s="102" t="str">
        <f>LOOKUP(B207,INICIO!A$10:A$109,INICIO!K$10:K$109)</f>
        <v/>
      </c>
      <c r="C208" s="72" t="s">
        <v>109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>
      <c r="B209" s="102" t="str">
        <f>LOOKUP(B207,INICIO!A$10:A$109,INICIO!L$10:L$109)</f>
        <v/>
      </c>
      <c r="C209" s="72" t="s">
        <v>110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>
      <c r="B210" s="102">
        <f>LOOKUP(B207,INICIO!A$10:A$109,INICIO!J$10:J$109)</f>
        <v>0</v>
      </c>
      <c r="C210" s="72" t="s">
        <v>111</v>
      </c>
      <c r="D210" s="73" t="str">
        <f t="shared" ref="D210" si="322">CONCATENATE(E207,F207)</f>
        <v/>
      </c>
      <c r="E210" s="73" t="s">
        <v>74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>
      <c r="B211" s="102">
        <f>LOOKUP(B207,INICIO!A$10:A$109,INICIO!E$10:E$109)</f>
        <v>0</v>
      </c>
      <c r="C211" s="72" t="s">
        <v>112</v>
      </c>
      <c r="D211" s="73" t="str">
        <f t="shared" ref="D211" si="324">CONCATENATE(E207,F207)</f>
        <v/>
      </c>
      <c r="E211" s="73" t="s">
        <v>75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>
      <c r="B212" s="103"/>
      <c r="C212" s="74" t="s">
        <v>113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>
      <c r="B214" s="101">
        <v>31</v>
      </c>
      <c r="C214" s="70" t="s">
        <v>108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73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>
      <c r="B215" s="102" t="str">
        <f>LOOKUP(B214,INICIO!A$10:A$109,INICIO!K$10:K$109)</f>
        <v/>
      </c>
      <c r="C215" s="72" t="s">
        <v>109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>
      <c r="B216" s="102" t="str">
        <f>LOOKUP(B214,INICIO!A$10:A$109,INICIO!L$10:L$109)</f>
        <v/>
      </c>
      <c r="C216" s="72" t="s">
        <v>110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>
      <c r="B217" s="102">
        <f>LOOKUP(B214,INICIO!A$10:A$109,INICIO!J$10:J$109)</f>
        <v>0</v>
      </c>
      <c r="C217" s="72" t="s">
        <v>111</v>
      </c>
      <c r="D217" s="73" t="str">
        <f t="shared" ref="D217" si="335">CONCATENATE(E214,F214)</f>
        <v/>
      </c>
      <c r="E217" s="73" t="s">
        <v>74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>
      <c r="B218" s="102">
        <f>LOOKUP(B214,INICIO!A$10:A$109,INICIO!E$10:E$109)</f>
        <v>0</v>
      </c>
      <c r="C218" s="72" t="s">
        <v>112</v>
      </c>
      <c r="D218" s="73" t="str">
        <f t="shared" ref="D218" si="337">CONCATENATE(E214,F214)</f>
        <v/>
      </c>
      <c r="E218" s="73" t="s">
        <v>75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>
      <c r="B219" s="103"/>
      <c r="C219" s="74" t="s">
        <v>113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>
      <c r="B221" s="101">
        <v>32</v>
      </c>
      <c r="C221" s="70" t="s">
        <v>108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73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>
      <c r="B222" s="102" t="str">
        <f>LOOKUP(B221,INICIO!A$10:A$109,INICIO!K$10:K$109)</f>
        <v/>
      </c>
      <c r="C222" s="72" t="s">
        <v>109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>
      <c r="B223" s="102" t="str">
        <f>LOOKUP(B221,INICIO!A$10:A$109,INICIO!L$10:L$109)</f>
        <v/>
      </c>
      <c r="C223" s="72" t="s">
        <v>110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>
      <c r="B224" s="102">
        <f>LOOKUP(B221,INICIO!A$10:A$109,INICIO!J$10:J$109)</f>
        <v>0</v>
      </c>
      <c r="C224" s="72" t="s">
        <v>111</v>
      </c>
      <c r="D224" s="73" t="str">
        <f t="shared" ref="D224" si="348">CONCATENATE(E221,F221)</f>
        <v/>
      </c>
      <c r="E224" s="73" t="s">
        <v>74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>
      <c r="B225" s="102">
        <f>LOOKUP(B221,INICIO!A$10:A$109,INICIO!E$10:E$109)</f>
        <v>0</v>
      </c>
      <c r="C225" s="72" t="s">
        <v>112</v>
      </c>
      <c r="D225" s="73" t="str">
        <f t="shared" ref="D225" si="350">CONCATENATE(E221,F221)</f>
        <v/>
      </c>
      <c r="E225" s="73" t="s">
        <v>75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>
      <c r="B226" s="103"/>
      <c r="C226" s="74" t="s">
        <v>113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>
      <c r="B228" s="101">
        <v>33</v>
      </c>
      <c r="C228" s="70" t="s">
        <v>108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73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>
      <c r="B229" s="102" t="str">
        <f>LOOKUP(B228,INICIO!A$10:A$109,INICIO!K$10:K$109)</f>
        <v/>
      </c>
      <c r="C229" s="72" t="s">
        <v>109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>
      <c r="B230" s="102" t="str">
        <f>LOOKUP(B228,INICIO!A$10:A$109,INICIO!L$10:L$109)</f>
        <v/>
      </c>
      <c r="C230" s="72" t="s">
        <v>110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>
      <c r="B231" s="102">
        <f>LOOKUP(B228,INICIO!A$10:A$109,INICIO!J$10:J$109)</f>
        <v>0</v>
      </c>
      <c r="C231" s="72" t="s">
        <v>111</v>
      </c>
      <c r="D231" s="73" t="str">
        <f t="shared" ref="D231" si="361">CONCATENATE(E228,F228)</f>
        <v/>
      </c>
      <c r="E231" s="73" t="s">
        <v>74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>
      <c r="B232" s="102">
        <f>LOOKUP(B228,INICIO!A$10:A$109,INICIO!E$10:E$109)</f>
        <v>0</v>
      </c>
      <c r="C232" s="72" t="s">
        <v>112</v>
      </c>
      <c r="D232" s="73" t="str">
        <f t="shared" ref="D232" si="363">CONCATENATE(E228,F228)</f>
        <v/>
      </c>
      <c r="E232" s="73" t="s">
        <v>75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>
      <c r="B233" s="103"/>
      <c r="C233" s="74" t="s">
        <v>113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>
      <c r="B235" s="101">
        <v>34</v>
      </c>
      <c r="C235" s="70" t="s">
        <v>108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73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>
      <c r="B236" s="102" t="str">
        <f>LOOKUP(B235,INICIO!A$10:A$109,INICIO!K$10:K$109)</f>
        <v/>
      </c>
      <c r="C236" s="72" t="s">
        <v>109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>
      <c r="B237" s="102" t="str">
        <f>LOOKUP(B235,INICIO!A$10:A$109,INICIO!L$10:L$109)</f>
        <v/>
      </c>
      <c r="C237" s="72" t="s">
        <v>110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>
      <c r="B238" s="102">
        <f>LOOKUP(B235,INICIO!A$10:A$109,INICIO!J$10:J$109)</f>
        <v>0</v>
      </c>
      <c r="C238" s="72" t="s">
        <v>111</v>
      </c>
      <c r="D238" s="73" t="str">
        <f t="shared" ref="D238" si="374">CONCATENATE(E235,F235)</f>
        <v/>
      </c>
      <c r="E238" s="73" t="s">
        <v>74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>
      <c r="B239" s="102">
        <f>LOOKUP(B235,INICIO!A$10:A$109,INICIO!E$10:E$109)</f>
        <v>0</v>
      </c>
      <c r="C239" s="72" t="s">
        <v>112</v>
      </c>
      <c r="D239" s="73" t="str">
        <f t="shared" ref="D239" si="376">CONCATENATE(E235,F235)</f>
        <v/>
      </c>
      <c r="E239" s="73" t="s">
        <v>75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>
      <c r="B240" s="103"/>
      <c r="C240" s="74" t="s">
        <v>113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>
      <c r="B242" s="101">
        <v>35</v>
      </c>
      <c r="C242" s="70" t="s">
        <v>108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73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>
      <c r="B243" s="102" t="str">
        <f>LOOKUP(B242,INICIO!A$10:A$109,INICIO!K$10:K$109)</f>
        <v/>
      </c>
      <c r="C243" s="72" t="s">
        <v>109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>
      <c r="B244" s="102" t="str">
        <f>LOOKUP(B242,INICIO!A$10:A$109,INICIO!L$10:L$109)</f>
        <v/>
      </c>
      <c r="C244" s="72" t="s">
        <v>110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>
      <c r="B245" s="102">
        <f>LOOKUP(B242,INICIO!A$10:A$109,INICIO!J$10:J$109)</f>
        <v>0</v>
      </c>
      <c r="C245" s="72" t="s">
        <v>111</v>
      </c>
      <c r="D245" s="73" t="str">
        <f t="shared" ref="D245" si="387">CONCATENATE(E242,F242)</f>
        <v/>
      </c>
      <c r="E245" s="73" t="s">
        <v>74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>
      <c r="B246" s="102">
        <f>LOOKUP(B242,INICIO!A$10:A$109,INICIO!E$10:E$109)</f>
        <v>0</v>
      </c>
      <c r="C246" s="72" t="s">
        <v>112</v>
      </c>
      <c r="D246" s="73" t="str">
        <f t="shared" ref="D246" si="389">CONCATENATE(E242,F242)</f>
        <v/>
      </c>
      <c r="E246" s="73" t="s">
        <v>75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>
      <c r="B247" s="103"/>
      <c r="C247" s="74" t="s">
        <v>113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>
      <c r="B249" s="101">
        <v>36</v>
      </c>
      <c r="C249" s="70" t="s">
        <v>108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73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>
      <c r="B250" s="102" t="str">
        <f>LOOKUP(B249,INICIO!A$10:A$109,INICIO!K$10:K$109)</f>
        <v/>
      </c>
      <c r="C250" s="72" t="s">
        <v>109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>
      <c r="B251" s="102" t="str">
        <f>LOOKUP(B249,INICIO!A$10:A$109,INICIO!L$10:L$109)</f>
        <v/>
      </c>
      <c r="C251" s="72" t="s">
        <v>110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>
      <c r="B252" s="102">
        <f>LOOKUP(B249,INICIO!A$10:A$109,INICIO!J$10:J$109)</f>
        <v>0</v>
      </c>
      <c r="C252" s="72" t="s">
        <v>111</v>
      </c>
      <c r="D252" s="73" t="str">
        <f t="shared" ref="D252" si="400">CONCATENATE(E249,F249)</f>
        <v/>
      </c>
      <c r="E252" s="73" t="s">
        <v>74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>
      <c r="B253" s="102">
        <f>LOOKUP(B249,INICIO!A$10:A$109,INICIO!E$10:E$109)</f>
        <v>0</v>
      </c>
      <c r="C253" s="72" t="s">
        <v>112</v>
      </c>
      <c r="D253" s="73" t="str">
        <f t="shared" ref="D253" si="402">CONCATENATE(E249,F249)</f>
        <v/>
      </c>
      <c r="E253" s="73" t="s">
        <v>75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>
      <c r="B254" s="103"/>
      <c r="C254" s="74" t="s">
        <v>113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>
      <c r="B256" s="101">
        <v>37</v>
      </c>
      <c r="C256" s="70" t="s">
        <v>108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73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>
      <c r="B257" s="102" t="str">
        <f>LOOKUP(B256,INICIO!A$10:A$109,INICIO!K$10:K$109)</f>
        <v/>
      </c>
      <c r="C257" s="72" t="s">
        <v>109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>
      <c r="B258" s="102" t="str">
        <f>LOOKUP(B256,INICIO!A$10:A$109,INICIO!L$10:L$109)</f>
        <v/>
      </c>
      <c r="C258" s="72" t="s">
        <v>110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>
      <c r="B259" s="102">
        <f>LOOKUP(B256,INICIO!A$10:A$109,INICIO!J$10:J$109)</f>
        <v>0</v>
      </c>
      <c r="C259" s="72" t="s">
        <v>111</v>
      </c>
      <c r="D259" s="73" t="str">
        <f t="shared" ref="D259" si="413">CONCATENATE(E256,F256)</f>
        <v/>
      </c>
      <c r="E259" s="73" t="s">
        <v>74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>
      <c r="B260" s="102">
        <f>LOOKUP(B256,INICIO!A$10:A$109,INICIO!E$10:E$109)</f>
        <v>0</v>
      </c>
      <c r="C260" s="72" t="s">
        <v>112</v>
      </c>
      <c r="D260" s="73" t="str">
        <f t="shared" ref="D260" si="415">CONCATENATE(E256,F256)</f>
        <v/>
      </c>
      <c r="E260" s="73" t="s">
        <v>75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>
      <c r="B261" s="103"/>
      <c r="C261" s="74" t="s">
        <v>113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>
      <c r="B263" s="101">
        <v>38</v>
      </c>
      <c r="C263" s="70" t="s">
        <v>108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73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>
      <c r="B264" s="102" t="str">
        <f>LOOKUP(B263,INICIO!A$10:A$109,INICIO!K$10:K$109)</f>
        <v/>
      </c>
      <c r="C264" s="72" t="s">
        <v>109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>
      <c r="B265" s="102" t="str">
        <f>LOOKUP(B263,INICIO!A$10:A$109,INICIO!L$10:L$109)</f>
        <v/>
      </c>
      <c r="C265" s="72" t="s">
        <v>110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>
      <c r="B266" s="102">
        <f>LOOKUP(B263,INICIO!A$10:A$109,INICIO!J$10:J$109)</f>
        <v>0</v>
      </c>
      <c r="C266" s="72" t="s">
        <v>111</v>
      </c>
      <c r="D266" s="73" t="str">
        <f t="shared" ref="D266" si="427">CONCATENATE(E263,F263)</f>
        <v/>
      </c>
      <c r="E266" s="73" t="s">
        <v>74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>
      <c r="B267" s="102">
        <f>LOOKUP(B263,INICIO!A$10:A$109,INICIO!E$10:E$109)</f>
        <v>0</v>
      </c>
      <c r="C267" s="72" t="s">
        <v>112</v>
      </c>
      <c r="D267" s="73" t="str">
        <f t="shared" ref="D267" si="429">CONCATENATE(E263,F263)</f>
        <v/>
      </c>
      <c r="E267" s="73" t="s">
        <v>75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>
      <c r="B268" s="103"/>
      <c r="C268" s="74" t="s">
        <v>113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>
      <c r="B270" s="101">
        <v>39</v>
      </c>
      <c r="C270" s="70" t="s">
        <v>108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73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>
      <c r="B271" s="102" t="str">
        <f>LOOKUP(B270,INICIO!A$10:A$109,INICIO!K$10:K$109)</f>
        <v/>
      </c>
      <c r="C271" s="72" t="s">
        <v>109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>
      <c r="B272" s="102" t="str">
        <f>LOOKUP(B270,INICIO!A$10:A$109,INICIO!L$10:L$109)</f>
        <v/>
      </c>
      <c r="C272" s="72" t="s">
        <v>110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>
      <c r="B273" s="102">
        <f>LOOKUP(B270,INICIO!A$10:A$109,INICIO!J$10:J$109)</f>
        <v>0</v>
      </c>
      <c r="C273" s="72" t="s">
        <v>111</v>
      </c>
      <c r="D273" s="73" t="str">
        <f t="shared" ref="D273" si="440">CONCATENATE(E270,F270)</f>
        <v/>
      </c>
      <c r="E273" s="73" t="s">
        <v>74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>
      <c r="B274" s="102">
        <f>LOOKUP(B270,INICIO!A$10:A$109,INICIO!E$10:E$109)</f>
        <v>0</v>
      </c>
      <c r="C274" s="72" t="s">
        <v>112</v>
      </c>
      <c r="D274" s="73" t="str">
        <f t="shared" ref="D274" si="442">CONCATENATE(E270,F270)</f>
        <v/>
      </c>
      <c r="E274" s="73" t="s">
        <v>75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>
      <c r="B275" s="103"/>
      <c r="C275" s="74" t="s">
        <v>113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>
      <c r="B277" s="101">
        <v>40</v>
      </c>
      <c r="C277" s="70" t="s">
        <v>108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73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>
      <c r="B278" s="102" t="str">
        <f>LOOKUP(B277,INICIO!A$10:A$109,INICIO!K$10:K$109)</f>
        <v/>
      </c>
      <c r="C278" s="72" t="s">
        <v>109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>
      <c r="B279" s="102" t="str">
        <f>LOOKUP(B277,INICIO!A$10:A$109,INICIO!L$10:L$109)</f>
        <v/>
      </c>
      <c r="C279" s="72" t="s">
        <v>110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>
      <c r="B280" s="102">
        <f>LOOKUP(B277,INICIO!A$10:A$109,INICIO!J$10:J$109)</f>
        <v>0</v>
      </c>
      <c r="C280" s="72" t="s">
        <v>111</v>
      </c>
      <c r="D280" s="73" t="str">
        <f t="shared" ref="D280" si="453">CONCATENATE(E277,F277)</f>
        <v/>
      </c>
      <c r="E280" s="73" t="s">
        <v>74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>
      <c r="B281" s="102">
        <f>LOOKUP(B277,INICIO!A$10:A$109,INICIO!E$10:E$109)</f>
        <v>0</v>
      </c>
      <c r="C281" s="72" t="s">
        <v>112</v>
      </c>
      <c r="D281" s="73" t="str">
        <f t="shared" ref="D281" si="455">CONCATENATE(E277,F277)</f>
        <v/>
      </c>
      <c r="E281" s="73" t="s">
        <v>75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>
      <c r="B282" s="103"/>
      <c r="C282" s="74" t="s">
        <v>113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>
      <c r="B284" s="101">
        <v>41</v>
      </c>
      <c r="C284" s="70" t="s">
        <v>108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73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>
      <c r="B285" s="102" t="str">
        <f>LOOKUP(B284,INICIO!A$10:A$109,INICIO!K$10:K$109)</f>
        <v/>
      </c>
      <c r="C285" s="72" t="s">
        <v>109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>
      <c r="B286" s="102" t="str">
        <f>LOOKUP(B284,INICIO!A$10:A$109,INICIO!L$10:L$109)</f>
        <v/>
      </c>
      <c r="C286" s="72" t="s">
        <v>110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>
      <c r="B287" s="102">
        <f>LOOKUP(B284,INICIO!A$10:A$109,INICIO!J$10:J$109)</f>
        <v>0</v>
      </c>
      <c r="C287" s="72" t="s">
        <v>111</v>
      </c>
      <c r="D287" s="73" t="str">
        <f t="shared" ref="D287" si="466">CONCATENATE(E284,F284)</f>
        <v/>
      </c>
      <c r="E287" s="73" t="s">
        <v>74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>
      <c r="B288" s="102">
        <f>LOOKUP(B284,INICIO!A$10:A$109,INICIO!E$10:E$109)</f>
        <v>0</v>
      </c>
      <c r="C288" s="72" t="s">
        <v>112</v>
      </c>
      <c r="D288" s="73" t="str">
        <f t="shared" ref="D288" si="468">CONCATENATE(E284,F284)</f>
        <v/>
      </c>
      <c r="E288" s="73" t="s">
        <v>75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>
      <c r="B289" s="103"/>
      <c r="C289" s="74" t="s">
        <v>113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>
      <c r="B291" s="101">
        <v>42</v>
      </c>
      <c r="C291" s="70" t="s">
        <v>108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73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>
      <c r="B292" s="102" t="str">
        <f>LOOKUP(B291,INICIO!A$10:A$109,INICIO!K$10:K$109)</f>
        <v/>
      </c>
      <c r="C292" s="72" t="s">
        <v>109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>
      <c r="B293" s="102" t="str">
        <f>LOOKUP(B291,INICIO!A$10:A$109,INICIO!L$10:L$109)</f>
        <v/>
      </c>
      <c r="C293" s="72" t="s">
        <v>110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>
      <c r="B294" s="102">
        <f>LOOKUP(B291,INICIO!A$10:A$109,INICIO!J$10:J$109)</f>
        <v>0</v>
      </c>
      <c r="C294" s="72" t="s">
        <v>111</v>
      </c>
      <c r="D294" s="73" t="str">
        <f t="shared" ref="D294" si="479">CONCATENATE(E291,F291)</f>
        <v/>
      </c>
      <c r="E294" s="73" t="s">
        <v>74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>
      <c r="B295" s="102">
        <f>LOOKUP(B291,INICIO!A$10:A$109,INICIO!E$10:E$109)</f>
        <v>0</v>
      </c>
      <c r="C295" s="72" t="s">
        <v>112</v>
      </c>
      <c r="D295" s="73" t="str">
        <f t="shared" ref="D295" si="481">CONCATENATE(E291,F291)</f>
        <v/>
      </c>
      <c r="E295" s="73" t="s">
        <v>75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>
      <c r="B296" s="103"/>
      <c r="C296" s="74" t="s">
        <v>113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>
      <c r="B298" s="101">
        <v>43</v>
      </c>
      <c r="C298" s="70" t="s">
        <v>108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73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>
      <c r="B299" s="102" t="str">
        <f>LOOKUP(B298,INICIO!A$10:A$109,INICIO!K$10:K$109)</f>
        <v/>
      </c>
      <c r="C299" s="72" t="s">
        <v>109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>
      <c r="B300" s="102" t="str">
        <f>LOOKUP(B298,INICIO!A$10:A$109,INICIO!L$10:L$109)</f>
        <v/>
      </c>
      <c r="C300" s="72" t="s">
        <v>110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>
      <c r="B301" s="102">
        <f>LOOKUP(B298,INICIO!A$10:A$109,INICIO!J$10:J$109)</f>
        <v>0</v>
      </c>
      <c r="C301" s="72" t="s">
        <v>111</v>
      </c>
      <c r="D301" s="73" t="str">
        <f t="shared" ref="D301" si="492">CONCATENATE(E298,F298)</f>
        <v/>
      </c>
      <c r="E301" s="73" t="s">
        <v>74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>
      <c r="B302" s="102">
        <f>LOOKUP(B298,INICIO!A$10:A$109,INICIO!E$10:E$109)</f>
        <v>0</v>
      </c>
      <c r="C302" s="72" t="s">
        <v>112</v>
      </c>
      <c r="D302" s="73" t="str">
        <f t="shared" ref="D302" si="494">CONCATENATE(E298,F298)</f>
        <v/>
      </c>
      <c r="E302" s="73" t="s">
        <v>75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>
      <c r="B303" s="103"/>
      <c r="C303" s="74" t="s">
        <v>113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>
      <c r="B305" s="101">
        <v>44</v>
      </c>
      <c r="C305" s="70" t="s">
        <v>108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73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>
      <c r="B306" s="102" t="str">
        <f>LOOKUP(B305,INICIO!A$10:A$109,INICIO!K$10:K$109)</f>
        <v/>
      </c>
      <c r="C306" s="72" t="s">
        <v>109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>
      <c r="B307" s="102" t="str">
        <f>LOOKUP(B305,INICIO!A$10:A$109,INICIO!L$10:L$109)</f>
        <v/>
      </c>
      <c r="C307" s="72" t="s">
        <v>110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>
      <c r="B308" s="102">
        <f>LOOKUP(B305,INICIO!A$10:A$109,INICIO!J$10:J$109)</f>
        <v>0</v>
      </c>
      <c r="C308" s="72" t="s">
        <v>111</v>
      </c>
      <c r="D308" s="73" t="str">
        <f t="shared" ref="D308" si="505">CONCATENATE(E305,F305)</f>
        <v/>
      </c>
      <c r="E308" s="73" t="s">
        <v>74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>
      <c r="B309" s="102">
        <f>LOOKUP(B305,INICIO!A$10:A$109,INICIO!E$10:E$109)</f>
        <v>0</v>
      </c>
      <c r="C309" s="72" t="s">
        <v>112</v>
      </c>
      <c r="D309" s="73" t="str">
        <f t="shared" ref="D309" si="507">CONCATENATE(E305,F305)</f>
        <v/>
      </c>
      <c r="E309" s="73" t="s">
        <v>75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>
      <c r="B310" s="103"/>
      <c r="C310" s="74" t="s">
        <v>113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>
      <c r="B312" s="101">
        <v>45</v>
      </c>
      <c r="C312" s="70" t="s">
        <v>108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73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>
      <c r="B313" s="102" t="str">
        <f>LOOKUP(B312,INICIO!A$10:A$109,INICIO!K$10:K$109)</f>
        <v/>
      </c>
      <c r="C313" s="72" t="s">
        <v>109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>
      <c r="B314" s="102" t="str">
        <f>LOOKUP(B312,INICIO!A$10:A$109,INICIO!L$10:L$109)</f>
        <v/>
      </c>
      <c r="C314" s="72" t="s">
        <v>110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>
      <c r="B315" s="102">
        <f>LOOKUP(B312,INICIO!A$10:A$109,INICIO!J$10:J$109)</f>
        <v>0</v>
      </c>
      <c r="C315" s="72" t="s">
        <v>111</v>
      </c>
      <c r="D315" s="73" t="str">
        <f t="shared" ref="D315" si="518">CONCATENATE(E312,F312)</f>
        <v/>
      </c>
      <c r="E315" s="73" t="s">
        <v>74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>
      <c r="B316" s="102">
        <f>LOOKUP(B312,INICIO!A$10:A$109,INICIO!E$10:E$109)</f>
        <v>0</v>
      </c>
      <c r="C316" s="72" t="s">
        <v>112</v>
      </c>
      <c r="D316" s="73" t="str">
        <f t="shared" ref="D316" si="520">CONCATENATE(E312,F312)</f>
        <v/>
      </c>
      <c r="E316" s="73" t="s">
        <v>75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>
      <c r="B317" s="103"/>
      <c r="C317" s="74" t="s">
        <v>113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>
      <c r="B319" s="101">
        <v>46</v>
      </c>
      <c r="C319" s="70" t="s">
        <v>108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73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>
      <c r="B320" s="102" t="str">
        <f>LOOKUP(B319,INICIO!A$10:A$109,INICIO!K$10:K$109)</f>
        <v/>
      </c>
      <c r="C320" s="72" t="s">
        <v>109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>
      <c r="B321" s="102" t="str">
        <f>LOOKUP(B319,INICIO!A$10:A$109,INICIO!L$10:L$109)</f>
        <v/>
      </c>
      <c r="C321" s="72" t="s">
        <v>110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>
      <c r="B322" s="102">
        <f>LOOKUP(B319,INICIO!A$10:A$109,INICIO!J$10:J$109)</f>
        <v>0</v>
      </c>
      <c r="C322" s="72" t="s">
        <v>111</v>
      </c>
      <c r="D322" s="73" t="str">
        <f t="shared" ref="D322" si="531">CONCATENATE(E319,F319)</f>
        <v/>
      </c>
      <c r="E322" s="73" t="s">
        <v>74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>
      <c r="B323" s="102">
        <f>LOOKUP(B319,INICIO!A$10:A$109,INICIO!E$10:E$109)</f>
        <v>0</v>
      </c>
      <c r="C323" s="72" t="s">
        <v>112</v>
      </c>
      <c r="D323" s="73" t="str">
        <f t="shared" ref="D323" si="533">CONCATENATE(E319,F319)</f>
        <v/>
      </c>
      <c r="E323" s="73" t="s">
        <v>75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>
      <c r="B324" s="103"/>
      <c r="C324" s="74" t="s">
        <v>113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>
      <c r="B326" s="101">
        <v>47</v>
      </c>
      <c r="C326" s="70" t="s">
        <v>108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73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>
      <c r="B327" s="102" t="str">
        <f>LOOKUP(B326,INICIO!A$10:A$109,INICIO!K$10:K$109)</f>
        <v/>
      </c>
      <c r="C327" s="72" t="s">
        <v>109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>
      <c r="B328" s="102" t="str">
        <f>LOOKUP(B326,INICIO!A$10:A$109,INICIO!L$10:L$109)</f>
        <v/>
      </c>
      <c r="C328" s="72" t="s">
        <v>110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>
      <c r="B329" s="102">
        <f>LOOKUP(B326,INICIO!A$10:A$109,INICIO!J$10:J$109)</f>
        <v>0</v>
      </c>
      <c r="C329" s="72" t="s">
        <v>111</v>
      </c>
      <c r="D329" s="73" t="str">
        <f t="shared" ref="D329" si="545">CONCATENATE(E326,F326)</f>
        <v/>
      </c>
      <c r="E329" s="73" t="s">
        <v>74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>
      <c r="B330" s="102">
        <f>LOOKUP(B326,INICIO!A$10:A$109,INICIO!E$10:E$109)</f>
        <v>0</v>
      </c>
      <c r="C330" s="72" t="s">
        <v>112</v>
      </c>
      <c r="D330" s="73" t="str">
        <f t="shared" ref="D330" si="547">CONCATENATE(E326,F326)</f>
        <v/>
      </c>
      <c r="E330" s="73" t="s">
        <v>75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>
      <c r="B331" s="103"/>
      <c r="C331" s="74" t="s">
        <v>113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>
      <c r="B333" s="101">
        <v>48</v>
      </c>
      <c r="C333" s="70" t="s">
        <v>108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73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>
      <c r="B334" s="102" t="str">
        <f>LOOKUP(B333,INICIO!A$10:A$109,INICIO!K$10:K$109)</f>
        <v/>
      </c>
      <c r="C334" s="72" t="s">
        <v>109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>
      <c r="B335" s="102" t="str">
        <f>LOOKUP(B333,INICIO!A$10:A$109,INICIO!L$10:L$109)</f>
        <v/>
      </c>
      <c r="C335" s="72" t="s">
        <v>110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>
      <c r="B336" s="102">
        <f>LOOKUP(B333,INICIO!A$10:A$109,INICIO!J$10:J$109)</f>
        <v>0</v>
      </c>
      <c r="C336" s="72" t="s">
        <v>111</v>
      </c>
      <c r="D336" s="73" t="str">
        <f t="shared" ref="D336" si="558">CONCATENATE(E333,F333)</f>
        <v/>
      </c>
      <c r="E336" s="73" t="s">
        <v>74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>
      <c r="B337" s="102">
        <f>LOOKUP(B333,INICIO!A$10:A$109,INICIO!E$10:E$109)</f>
        <v>0</v>
      </c>
      <c r="C337" s="72" t="s">
        <v>112</v>
      </c>
      <c r="D337" s="73" t="str">
        <f t="shared" ref="D337" si="560">CONCATENATE(E333,F333)</f>
        <v/>
      </c>
      <c r="E337" s="73" t="s">
        <v>75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>
      <c r="B338" s="103"/>
      <c r="C338" s="74" t="s">
        <v>113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>
      <c r="B340" s="101">
        <v>49</v>
      </c>
      <c r="C340" s="70" t="s">
        <v>108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73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>
      <c r="B341" s="102" t="str">
        <f>LOOKUP(B340,INICIO!A$10:A$109,INICIO!K$10:K$109)</f>
        <v/>
      </c>
      <c r="C341" s="72" t="s">
        <v>109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>
      <c r="B342" s="102" t="str">
        <f>LOOKUP(B340,INICIO!A$10:A$109,INICIO!L$10:L$109)</f>
        <v/>
      </c>
      <c r="C342" s="72" t="s">
        <v>110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>
      <c r="B343" s="102">
        <f>LOOKUP(B340,INICIO!A$10:A$109,INICIO!J$10:J$109)</f>
        <v>0</v>
      </c>
      <c r="C343" s="72" t="s">
        <v>111</v>
      </c>
      <c r="D343" s="73" t="str">
        <f t="shared" ref="D343" si="571">CONCATENATE(E340,F340)</f>
        <v/>
      </c>
      <c r="E343" s="73" t="s">
        <v>74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>
      <c r="B344" s="102">
        <f>LOOKUP(B340,INICIO!A$10:A$109,INICIO!E$10:E$109)</f>
        <v>0</v>
      </c>
      <c r="C344" s="72" t="s">
        <v>112</v>
      </c>
      <c r="D344" s="73" t="str">
        <f t="shared" ref="D344" si="573">CONCATENATE(E340,F340)</f>
        <v/>
      </c>
      <c r="E344" s="73" t="s">
        <v>75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>
      <c r="B345" s="103"/>
      <c r="C345" s="74" t="s">
        <v>113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>
      <c r="B347" s="101">
        <v>50</v>
      </c>
      <c r="C347" s="70" t="s">
        <v>108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73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>
      <c r="B348" s="102" t="str">
        <f>LOOKUP(B347,INICIO!A$10:A$109,INICIO!K$10:K$109)</f>
        <v/>
      </c>
      <c r="C348" s="72" t="s">
        <v>109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>
      <c r="B349" s="102" t="str">
        <f>LOOKUP(B347,INICIO!A$10:A$109,INICIO!L$10:L$109)</f>
        <v/>
      </c>
      <c r="C349" s="72" t="s">
        <v>110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>
      <c r="B350" s="102">
        <f>LOOKUP(B347,INICIO!A$10:A$109,INICIO!J$10:J$109)</f>
        <v>0</v>
      </c>
      <c r="C350" s="72" t="s">
        <v>111</v>
      </c>
      <c r="D350" s="73" t="str">
        <f t="shared" ref="D350" si="584">CONCATENATE(E347,F347)</f>
        <v/>
      </c>
      <c r="E350" s="73" t="s">
        <v>74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>
      <c r="B351" s="102">
        <f>LOOKUP(B347,INICIO!A$10:A$109,INICIO!E$10:E$109)</f>
        <v>0</v>
      </c>
      <c r="C351" s="72" t="s">
        <v>112</v>
      </c>
      <c r="D351" s="73" t="str">
        <f t="shared" ref="D351" si="586">CONCATENATE(E347,F347)</f>
        <v/>
      </c>
      <c r="E351" s="73" t="s">
        <v>75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>
      <c r="B352" s="103"/>
      <c r="C352" s="74" t="s">
        <v>113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>
      <c r="B354" s="101">
        <v>51</v>
      </c>
      <c r="C354" s="70" t="s">
        <v>108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73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>
      <c r="B355" s="102" t="str">
        <f>LOOKUP(B354,INICIO!A$10:A$109,INICIO!K$10:K$109)</f>
        <v/>
      </c>
      <c r="C355" s="72" t="s">
        <v>109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>
      <c r="B356" s="102" t="str">
        <f>LOOKUP(B354,INICIO!A$10:A$109,INICIO!L$10:L$109)</f>
        <v/>
      </c>
      <c r="C356" s="72" t="s">
        <v>110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>
      <c r="B357" s="102">
        <f>LOOKUP(B354,INICIO!A$10:A$109,INICIO!J$10:J$109)</f>
        <v>0</v>
      </c>
      <c r="C357" s="72" t="s">
        <v>111</v>
      </c>
      <c r="D357" s="73" t="str">
        <f t="shared" ref="D357" si="597">CONCATENATE(E354,F354)</f>
        <v/>
      </c>
      <c r="E357" s="73" t="s">
        <v>74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>
      <c r="B358" s="102">
        <f>LOOKUP(B354,INICIO!A$10:A$109,INICIO!E$10:E$109)</f>
        <v>0</v>
      </c>
      <c r="C358" s="72" t="s">
        <v>112</v>
      </c>
      <c r="D358" s="73" t="str">
        <f t="shared" ref="D358" si="599">CONCATENATE(E354,F354)</f>
        <v/>
      </c>
      <c r="E358" s="73" t="s">
        <v>75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>
      <c r="B359" s="103"/>
      <c r="C359" s="74" t="s">
        <v>113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>
      <c r="B361" s="101">
        <v>52</v>
      </c>
      <c r="C361" s="70" t="s">
        <v>108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73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>
      <c r="B362" s="102" t="str">
        <f>LOOKUP(B361,INICIO!A$10:A$109,INICIO!K$10:K$109)</f>
        <v/>
      </c>
      <c r="C362" s="72" t="s">
        <v>109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>
      <c r="B363" s="102" t="str">
        <f>LOOKUP(B361,INICIO!A$10:A$109,INICIO!L$10:L$109)</f>
        <v/>
      </c>
      <c r="C363" s="72" t="s">
        <v>110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>
      <c r="B364" s="102">
        <f>LOOKUP(B361,INICIO!A$10:A$109,INICIO!J$10:J$109)</f>
        <v>0</v>
      </c>
      <c r="C364" s="72" t="s">
        <v>111</v>
      </c>
      <c r="D364" s="73" t="str">
        <f t="shared" ref="D364" si="610">CONCATENATE(E361,F361)</f>
        <v/>
      </c>
      <c r="E364" s="73" t="s">
        <v>74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>
      <c r="B365" s="102">
        <f>LOOKUP(B361,INICIO!A$10:A$109,INICIO!E$10:E$109)</f>
        <v>0</v>
      </c>
      <c r="C365" s="72" t="s">
        <v>112</v>
      </c>
      <c r="D365" s="73" t="str">
        <f t="shared" ref="D365" si="612">CONCATENATE(E361,F361)</f>
        <v/>
      </c>
      <c r="E365" s="73" t="s">
        <v>75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>
      <c r="B366" s="103"/>
      <c r="C366" s="74" t="s">
        <v>113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>
      <c r="B368" s="101">
        <v>53</v>
      </c>
      <c r="C368" s="70" t="s">
        <v>108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73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>
      <c r="B369" s="102" t="str">
        <f>LOOKUP(B368,INICIO!A$10:A$109,INICIO!K$10:K$109)</f>
        <v/>
      </c>
      <c r="C369" s="72" t="s">
        <v>109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>
      <c r="B370" s="102" t="str">
        <f>LOOKUP(B368,INICIO!A$10:A$109,INICIO!L$10:L$109)</f>
        <v/>
      </c>
      <c r="C370" s="72" t="s">
        <v>110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>
      <c r="B371" s="102">
        <f>LOOKUP(B368,INICIO!A$10:A$109,INICIO!J$10:J$109)</f>
        <v>0</v>
      </c>
      <c r="C371" s="72" t="s">
        <v>111</v>
      </c>
      <c r="D371" s="73" t="str">
        <f t="shared" ref="D371" si="623">CONCATENATE(E368,F368)</f>
        <v/>
      </c>
      <c r="E371" s="73" t="s">
        <v>74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>
      <c r="B372" s="102">
        <f>LOOKUP(B368,INICIO!A$10:A$109,INICIO!E$10:E$109)</f>
        <v>0</v>
      </c>
      <c r="C372" s="72" t="s">
        <v>112</v>
      </c>
      <c r="D372" s="73" t="str">
        <f t="shared" ref="D372" si="625">CONCATENATE(E368,F368)</f>
        <v/>
      </c>
      <c r="E372" s="73" t="s">
        <v>75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>
      <c r="B373" s="103"/>
      <c r="C373" s="74" t="s">
        <v>113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>
      <c r="B375" s="101">
        <v>54</v>
      </c>
      <c r="C375" s="70" t="s">
        <v>108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73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>
      <c r="B376" s="102" t="str">
        <f>LOOKUP(B375,INICIO!A$10:A$109,INICIO!K$10:K$109)</f>
        <v/>
      </c>
      <c r="C376" s="72" t="s">
        <v>109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>
      <c r="B377" s="102" t="str">
        <f>LOOKUP(B375,INICIO!A$10:A$109,INICIO!L$10:L$109)</f>
        <v/>
      </c>
      <c r="C377" s="72" t="s">
        <v>110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>
      <c r="B378" s="102">
        <f>LOOKUP(B375,INICIO!A$10:A$109,INICIO!J$10:J$109)</f>
        <v>0</v>
      </c>
      <c r="C378" s="72" t="s">
        <v>111</v>
      </c>
      <c r="D378" s="73" t="str">
        <f t="shared" ref="D378" si="636">CONCATENATE(E375,F375)</f>
        <v/>
      </c>
      <c r="E378" s="73" t="s">
        <v>74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>
      <c r="B379" s="102">
        <f>LOOKUP(B375,INICIO!A$10:A$109,INICIO!E$10:E$109)</f>
        <v>0</v>
      </c>
      <c r="C379" s="72" t="s">
        <v>112</v>
      </c>
      <c r="D379" s="73" t="str">
        <f t="shared" ref="D379" si="638">CONCATENATE(E375,F375)</f>
        <v/>
      </c>
      <c r="E379" s="73" t="s">
        <v>75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>
      <c r="B380" s="103"/>
      <c r="C380" s="74" t="s">
        <v>113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>
      <c r="B382" s="101">
        <v>55</v>
      </c>
      <c r="C382" s="70" t="s">
        <v>108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73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>
      <c r="B383" s="102" t="str">
        <f>LOOKUP(B382,INICIO!A$10:A$109,INICIO!K$10:K$109)</f>
        <v/>
      </c>
      <c r="C383" s="72" t="s">
        <v>109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>
      <c r="B384" s="102" t="str">
        <f>LOOKUP(B382,INICIO!A$10:A$109,INICIO!L$10:L$109)</f>
        <v/>
      </c>
      <c r="C384" s="72" t="s">
        <v>110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>
      <c r="B385" s="102">
        <f>LOOKUP(B382,INICIO!A$10:A$109,INICIO!J$10:J$109)</f>
        <v>0</v>
      </c>
      <c r="C385" s="72" t="s">
        <v>111</v>
      </c>
      <c r="D385" s="73" t="str">
        <f t="shared" ref="D385" si="649">CONCATENATE(E382,F382)</f>
        <v/>
      </c>
      <c r="E385" s="73" t="s">
        <v>74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>
      <c r="B386" s="102">
        <f>LOOKUP(B382,INICIO!A$10:A$109,INICIO!E$10:E$109)</f>
        <v>0</v>
      </c>
      <c r="C386" s="72" t="s">
        <v>112</v>
      </c>
      <c r="D386" s="73" t="str">
        <f t="shared" ref="D386" si="651">CONCATENATE(E382,F382)</f>
        <v/>
      </c>
      <c r="E386" s="73" t="s">
        <v>75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>
      <c r="B387" s="103"/>
      <c r="C387" s="74" t="s">
        <v>113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>
      <c r="B389" s="101">
        <v>56</v>
      </c>
      <c r="C389" s="70" t="s">
        <v>108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73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>
      <c r="B390" s="102" t="str">
        <f>LOOKUP(B389,INICIO!A$10:A$109,INICIO!K$10:K$109)</f>
        <v/>
      </c>
      <c r="C390" s="72" t="s">
        <v>109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>
      <c r="B391" s="102" t="str">
        <f>LOOKUP(B389,INICIO!A$10:A$109,INICIO!L$10:L$109)</f>
        <v/>
      </c>
      <c r="C391" s="72" t="s">
        <v>110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>
      <c r="B392" s="102">
        <f>LOOKUP(B389,INICIO!A$10:A$109,INICIO!J$10:J$109)</f>
        <v>0</v>
      </c>
      <c r="C392" s="72" t="s">
        <v>111</v>
      </c>
      <c r="D392" s="73" t="str">
        <f t="shared" ref="D392" si="663">CONCATENATE(E389,F389)</f>
        <v/>
      </c>
      <c r="E392" s="73" t="s">
        <v>74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>
      <c r="B393" s="102">
        <f>LOOKUP(B389,INICIO!A$10:A$109,INICIO!E$10:E$109)</f>
        <v>0</v>
      </c>
      <c r="C393" s="72" t="s">
        <v>112</v>
      </c>
      <c r="D393" s="73" t="str">
        <f t="shared" ref="D393" si="665">CONCATENATE(E389,F389)</f>
        <v/>
      </c>
      <c r="E393" s="73" t="s">
        <v>75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>
      <c r="B394" s="103"/>
      <c r="C394" s="74" t="s">
        <v>113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>
      <c r="B396" s="101">
        <v>57</v>
      </c>
      <c r="C396" s="70" t="s">
        <v>108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73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>
      <c r="B397" s="102" t="str">
        <f>LOOKUP(B396,INICIO!A$10:A$109,INICIO!K$10:K$109)</f>
        <v/>
      </c>
      <c r="C397" s="72" t="s">
        <v>109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>
      <c r="B398" s="102" t="str">
        <f>LOOKUP(B396,INICIO!A$10:A$109,INICIO!L$10:L$109)</f>
        <v/>
      </c>
      <c r="C398" s="72" t="s">
        <v>110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>
      <c r="B399" s="102">
        <f>LOOKUP(B396,INICIO!A$10:A$109,INICIO!J$10:J$109)</f>
        <v>0</v>
      </c>
      <c r="C399" s="72" t="s">
        <v>111</v>
      </c>
      <c r="D399" s="73" t="str">
        <f t="shared" ref="D399" si="676">CONCATENATE(E396,F396)</f>
        <v/>
      </c>
      <c r="E399" s="73" t="s">
        <v>74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>
      <c r="B400" s="102">
        <f>LOOKUP(B396,INICIO!A$10:A$109,INICIO!E$10:E$109)</f>
        <v>0</v>
      </c>
      <c r="C400" s="72" t="s">
        <v>112</v>
      </c>
      <c r="D400" s="73" t="str">
        <f t="shared" ref="D400" si="678">CONCATENATE(E396,F396)</f>
        <v/>
      </c>
      <c r="E400" s="73" t="s">
        <v>75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>
      <c r="B401" s="103"/>
      <c r="C401" s="74" t="s">
        <v>113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>
      <c r="B403" s="101">
        <v>58</v>
      </c>
      <c r="C403" s="70" t="s">
        <v>108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73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>
      <c r="B404" s="102" t="str">
        <f>LOOKUP(B403,INICIO!A$10:A$109,INICIO!K$10:K$109)</f>
        <v/>
      </c>
      <c r="C404" s="72" t="s">
        <v>109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>
      <c r="B405" s="102" t="str">
        <f>LOOKUP(B403,INICIO!A$10:A$109,INICIO!L$10:L$109)</f>
        <v/>
      </c>
      <c r="C405" s="72" t="s">
        <v>110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>
      <c r="B406" s="102">
        <f>LOOKUP(B403,INICIO!A$10:A$109,INICIO!J$10:J$109)</f>
        <v>0</v>
      </c>
      <c r="C406" s="72" t="s">
        <v>111</v>
      </c>
      <c r="D406" s="73" t="str">
        <f t="shared" ref="D406" si="689">CONCATENATE(E403,F403)</f>
        <v/>
      </c>
      <c r="E406" s="73" t="s">
        <v>74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>
      <c r="B407" s="102">
        <f>LOOKUP(B403,INICIO!A$10:A$109,INICIO!E$10:E$109)</f>
        <v>0</v>
      </c>
      <c r="C407" s="72" t="s">
        <v>112</v>
      </c>
      <c r="D407" s="73" t="str">
        <f t="shared" ref="D407" si="691">CONCATENATE(E403,F403)</f>
        <v/>
      </c>
      <c r="E407" s="73" t="s">
        <v>75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>
      <c r="B408" s="103"/>
      <c r="C408" s="74" t="s">
        <v>113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>
      <c r="B410" s="101">
        <v>59</v>
      </c>
      <c r="C410" s="70" t="s">
        <v>108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73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>
      <c r="B411" s="102" t="str">
        <f>LOOKUP(B410,INICIO!A$10:A$109,INICIO!K$10:K$109)</f>
        <v/>
      </c>
      <c r="C411" s="72" t="s">
        <v>109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>
      <c r="B412" s="102" t="str">
        <f>LOOKUP(B410,INICIO!A$10:A$109,INICIO!L$10:L$109)</f>
        <v/>
      </c>
      <c r="C412" s="72" t="s">
        <v>110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>
      <c r="B413" s="102">
        <f>LOOKUP(B410,INICIO!A$10:A$109,INICIO!J$10:J$109)</f>
        <v>0</v>
      </c>
      <c r="C413" s="72" t="s">
        <v>111</v>
      </c>
      <c r="D413" s="73" t="str">
        <f t="shared" ref="D413" si="702">CONCATENATE(E410,F410)</f>
        <v/>
      </c>
      <c r="E413" s="73" t="s">
        <v>74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>
      <c r="B414" s="102">
        <f>LOOKUP(B410,INICIO!A$10:A$109,INICIO!E$10:E$109)</f>
        <v>0</v>
      </c>
      <c r="C414" s="72" t="s">
        <v>112</v>
      </c>
      <c r="D414" s="73" t="str">
        <f t="shared" ref="D414" si="704">CONCATENATE(E410,F410)</f>
        <v/>
      </c>
      <c r="E414" s="73" t="s">
        <v>75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>
      <c r="B415" s="103"/>
      <c r="C415" s="74" t="s">
        <v>113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>
      <c r="B417" s="101">
        <v>60</v>
      </c>
      <c r="C417" s="70" t="s">
        <v>108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73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>
      <c r="B418" s="102" t="str">
        <f>LOOKUP(B417,INICIO!A$10:A$109,INICIO!K$10:K$109)</f>
        <v/>
      </c>
      <c r="C418" s="72" t="s">
        <v>109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>
      <c r="B419" s="102" t="str">
        <f>LOOKUP(B417,INICIO!A$10:A$109,INICIO!L$10:L$109)</f>
        <v/>
      </c>
      <c r="C419" s="72" t="s">
        <v>110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>
      <c r="B420" s="102">
        <f>LOOKUP(B417,INICIO!A$10:A$109,INICIO!J$10:J$109)</f>
        <v>0</v>
      </c>
      <c r="C420" s="72" t="s">
        <v>111</v>
      </c>
      <c r="D420" s="73" t="str">
        <f t="shared" ref="D420" si="715">CONCATENATE(E417,F417)</f>
        <v/>
      </c>
      <c r="E420" s="73" t="s">
        <v>74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>
      <c r="B421" s="102">
        <f>LOOKUP(B417,INICIO!A$10:A$109,INICIO!E$10:E$109)</f>
        <v>0</v>
      </c>
      <c r="C421" s="72" t="s">
        <v>112</v>
      </c>
      <c r="D421" s="73" t="str">
        <f t="shared" ref="D421" si="717">CONCATENATE(E417,F417)</f>
        <v/>
      </c>
      <c r="E421" s="73" t="s">
        <v>75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>
      <c r="B422" s="103"/>
      <c r="C422" s="74" t="s">
        <v>113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>
      <c r="B424" s="101">
        <v>61</v>
      </c>
      <c r="C424" s="70" t="s">
        <v>108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73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>
      <c r="B425" s="102" t="str">
        <f>LOOKUP(B424,INICIO!A$10:A$109,INICIO!K$10:K$109)</f>
        <v/>
      </c>
      <c r="C425" s="72" t="s">
        <v>109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>
      <c r="B426" s="102" t="str">
        <f>LOOKUP(B424,INICIO!A$10:A$109,INICIO!L$10:L$109)</f>
        <v/>
      </c>
      <c r="C426" s="72" t="s">
        <v>110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>
      <c r="B427" s="102">
        <f>LOOKUP(B424,INICIO!A$10:A$109,INICIO!J$10:J$109)</f>
        <v>0</v>
      </c>
      <c r="C427" s="72" t="s">
        <v>111</v>
      </c>
      <c r="D427" s="73" t="str">
        <f t="shared" ref="D427" si="728">CONCATENATE(E424,F424)</f>
        <v/>
      </c>
      <c r="E427" s="73" t="s">
        <v>74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>
      <c r="B428" s="102">
        <f>LOOKUP(B424,INICIO!A$10:A$109,INICIO!E$10:E$109)</f>
        <v>0</v>
      </c>
      <c r="C428" s="72" t="s">
        <v>112</v>
      </c>
      <c r="D428" s="73" t="str">
        <f t="shared" ref="D428" si="730">CONCATENATE(E424,F424)</f>
        <v/>
      </c>
      <c r="E428" s="73" t="s">
        <v>75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>
      <c r="B429" s="103"/>
      <c r="C429" s="74" t="s">
        <v>113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>
      <c r="B431" s="101">
        <v>62</v>
      </c>
      <c r="C431" s="70" t="s">
        <v>108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73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>
      <c r="B432" s="102" t="str">
        <f>LOOKUP(B431,INICIO!A$10:A$109,INICIO!K$10:K$109)</f>
        <v/>
      </c>
      <c r="C432" s="72" t="s">
        <v>109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>
      <c r="B433" s="102" t="str">
        <f>LOOKUP(B431,INICIO!A$10:A$109,INICIO!L$10:L$109)</f>
        <v/>
      </c>
      <c r="C433" s="72" t="s">
        <v>110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>
      <c r="B434" s="102">
        <f>LOOKUP(B431,INICIO!A$10:A$109,INICIO!J$10:J$109)</f>
        <v>0</v>
      </c>
      <c r="C434" s="72" t="s">
        <v>111</v>
      </c>
      <c r="D434" s="73" t="str">
        <f t="shared" ref="D434" si="741">CONCATENATE(E431,F431)</f>
        <v/>
      </c>
      <c r="E434" s="73" t="s">
        <v>74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>
      <c r="B435" s="102">
        <f>LOOKUP(B431,INICIO!A$10:A$109,INICIO!E$10:E$109)</f>
        <v>0</v>
      </c>
      <c r="C435" s="72" t="s">
        <v>112</v>
      </c>
      <c r="D435" s="73" t="str">
        <f t="shared" ref="D435" si="743">CONCATENATE(E431,F431)</f>
        <v/>
      </c>
      <c r="E435" s="73" t="s">
        <v>75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>
      <c r="B436" s="103"/>
      <c r="C436" s="74" t="s">
        <v>113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>
      <c r="B438" s="101">
        <v>63</v>
      </c>
      <c r="C438" s="70" t="s">
        <v>108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73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>
      <c r="B439" s="102" t="str">
        <f>LOOKUP(B438,INICIO!A$10:A$109,INICIO!K$10:K$109)</f>
        <v/>
      </c>
      <c r="C439" s="72" t="s">
        <v>109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>
      <c r="B440" s="102" t="str">
        <f>LOOKUP(B438,INICIO!A$10:A$109,INICIO!L$10:L$109)</f>
        <v/>
      </c>
      <c r="C440" s="72" t="s">
        <v>110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>
      <c r="B441" s="102">
        <f>LOOKUP(B438,INICIO!A$10:A$109,INICIO!J$10:J$109)</f>
        <v>0</v>
      </c>
      <c r="C441" s="72" t="s">
        <v>111</v>
      </c>
      <c r="D441" s="73" t="str">
        <f t="shared" ref="D441" si="754">CONCATENATE(E438,F438)</f>
        <v/>
      </c>
      <c r="E441" s="73" t="s">
        <v>74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>
      <c r="B442" s="102">
        <f>LOOKUP(B438,INICIO!A$10:A$109,INICIO!E$10:E$109)</f>
        <v>0</v>
      </c>
      <c r="C442" s="72" t="s">
        <v>112</v>
      </c>
      <c r="D442" s="73" t="str">
        <f t="shared" ref="D442" si="756">CONCATENATE(E438,F438)</f>
        <v/>
      </c>
      <c r="E442" s="73" t="s">
        <v>75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>
      <c r="B443" s="103"/>
      <c r="C443" s="74" t="s">
        <v>113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>
      <c r="B445" s="101">
        <v>64</v>
      </c>
      <c r="C445" s="70" t="s">
        <v>108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73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>
      <c r="B446" s="102" t="str">
        <f>LOOKUP(B445,INICIO!A$10:A$109,INICIO!K$10:K$109)</f>
        <v/>
      </c>
      <c r="C446" s="72" t="s">
        <v>109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>
      <c r="B447" s="102" t="str">
        <f>LOOKUP(B445,INICIO!A$10:A$109,INICIO!L$10:L$109)</f>
        <v/>
      </c>
      <c r="C447" s="72" t="s">
        <v>110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>
      <c r="B448" s="102">
        <f>LOOKUP(B445,INICIO!A$10:A$109,INICIO!J$10:J$109)</f>
        <v>0</v>
      </c>
      <c r="C448" s="72" t="s">
        <v>111</v>
      </c>
      <c r="D448" s="73" t="str">
        <f t="shared" ref="D448" si="767">CONCATENATE(E445,F445)</f>
        <v/>
      </c>
      <c r="E448" s="73" t="s">
        <v>74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>
      <c r="B449" s="102">
        <f>LOOKUP(B445,INICIO!A$10:A$109,INICIO!E$10:E$109)</f>
        <v>0</v>
      </c>
      <c r="C449" s="72" t="s">
        <v>112</v>
      </c>
      <c r="D449" s="73" t="str">
        <f t="shared" ref="D449" si="769">CONCATENATE(E445,F445)</f>
        <v/>
      </c>
      <c r="E449" s="73" t="s">
        <v>75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>
      <c r="B450" s="103"/>
      <c r="C450" s="74" t="s">
        <v>113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>
      <c r="B452" s="101">
        <v>65</v>
      </c>
      <c r="C452" s="70" t="s">
        <v>108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73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>
      <c r="B453" s="102" t="str">
        <f>LOOKUP(B452,INICIO!A$10:A$109,INICIO!K$10:K$109)</f>
        <v/>
      </c>
      <c r="C453" s="72" t="s">
        <v>109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>
      <c r="B454" s="102" t="str">
        <f>LOOKUP(B452,INICIO!A$10:A$109,INICIO!L$10:L$109)</f>
        <v/>
      </c>
      <c r="C454" s="72" t="s">
        <v>110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>
      <c r="B455" s="102">
        <f>LOOKUP(B452,INICIO!A$10:A$109,INICIO!J$10:J$109)</f>
        <v>0</v>
      </c>
      <c r="C455" s="72" t="s">
        <v>111</v>
      </c>
      <c r="D455" s="73" t="str">
        <f t="shared" ref="D455" si="781">CONCATENATE(E452,F452)</f>
        <v/>
      </c>
      <c r="E455" s="73" t="s">
        <v>74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>
      <c r="B456" s="102">
        <f>LOOKUP(B452,INICIO!A$10:A$109,INICIO!E$10:E$109)</f>
        <v>0</v>
      </c>
      <c r="C456" s="72" t="s">
        <v>112</v>
      </c>
      <c r="D456" s="73" t="str">
        <f t="shared" ref="D456" si="783">CONCATENATE(E452,F452)</f>
        <v/>
      </c>
      <c r="E456" s="73" t="s">
        <v>75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>
      <c r="B457" s="103"/>
      <c r="C457" s="74" t="s">
        <v>113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>
      <c r="B459" s="101">
        <v>66</v>
      </c>
      <c r="C459" s="70" t="s">
        <v>108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73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>
      <c r="B460" s="102" t="str">
        <f>LOOKUP(B459,INICIO!A$10:A$109,INICIO!K$10:K$109)</f>
        <v/>
      </c>
      <c r="C460" s="72" t="s">
        <v>109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>
      <c r="B461" s="102" t="str">
        <f>LOOKUP(B459,INICIO!A$10:A$109,INICIO!L$10:L$109)</f>
        <v/>
      </c>
      <c r="C461" s="72" t="s">
        <v>110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>
      <c r="B462" s="102">
        <f>LOOKUP(B459,INICIO!A$10:A$109,INICIO!J$10:J$109)</f>
        <v>0</v>
      </c>
      <c r="C462" s="72" t="s">
        <v>111</v>
      </c>
      <c r="D462" s="73" t="str">
        <f t="shared" ref="D462" si="794">CONCATENATE(E459,F459)</f>
        <v/>
      </c>
      <c r="E462" s="73" t="s">
        <v>74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>
      <c r="B463" s="102">
        <f>LOOKUP(B459,INICIO!A$10:A$109,INICIO!E$10:E$109)</f>
        <v>0</v>
      </c>
      <c r="C463" s="72" t="s">
        <v>112</v>
      </c>
      <c r="D463" s="73" t="str">
        <f t="shared" ref="D463" si="796">CONCATENATE(E459,F459)</f>
        <v/>
      </c>
      <c r="E463" s="73" t="s">
        <v>75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>
      <c r="B464" s="103"/>
      <c r="C464" s="74" t="s">
        <v>113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>
      <c r="B466" s="101">
        <v>67</v>
      </c>
      <c r="C466" s="70" t="s">
        <v>108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73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>
      <c r="B467" s="102" t="str">
        <f>LOOKUP(B466,INICIO!A$10:A$109,INICIO!K$10:K$109)</f>
        <v/>
      </c>
      <c r="C467" s="72" t="s">
        <v>109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>
      <c r="B468" s="102" t="str">
        <f>LOOKUP(B466,INICIO!A$10:A$109,INICIO!L$10:L$109)</f>
        <v/>
      </c>
      <c r="C468" s="72" t="s">
        <v>110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>
      <c r="B469" s="102">
        <f>LOOKUP(B466,INICIO!A$10:A$109,INICIO!J$10:J$109)</f>
        <v>0</v>
      </c>
      <c r="C469" s="72" t="s">
        <v>111</v>
      </c>
      <c r="D469" s="73" t="str">
        <f t="shared" ref="D469" si="807">CONCATENATE(E466,F466)</f>
        <v/>
      </c>
      <c r="E469" s="73" t="s">
        <v>74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>
      <c r="B470" s="102">
        <f>LOOKUP(B466,INICIO!A$10:A$109,INICIO!E$10:E$109)</f>
        <v>0</v>
      </c>
      <c r="C470" s="72" t="s">
        <v>112</v>
      </c>
      <c r="D470" s="73" t="str">
        <f t="shared" ref="D470" si="809">CONCATENATE(E466,F466)</f>
        <v/>
      </c>
      <c r="E470" s="73" t="s">
        <v>75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>
      <c r="B471" s="103"/>
      <c r="C471" s="74" t="s">
        <v>113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>
      <c r="B473" s="101">
        <v>68</v>
      </c>
      <c r="C473" s="70" t="s">
        <v>108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73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>
      <c r="B474" s="102" t="str">
        <f>LOOKUP(B473,INICIO!A$10:A$109,INICIO!K$10:K$109)</f>
        <v/>
      </c>
      <c r="C474" s="72" t="s">
        <v>109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>
      <c r="B475" s="102" t="str">
        <f>LOOKUP(B473,INICIO!A$10:A$109,INICIO!L$10:L$109)</f>
        <v/>
      </c>
      <c r="C475" s="72" t="s">
        <v>110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>
      <c r="B476" s="102">
        <f>LOOKUP(B473,INICIO!A$10:A$109,INICIO!J$10:J$109)</f>
        <v>0</v>
      </c>
      <c r="C476" s="72" t="s">
        <v>111</v>
      </c>
      <c r="D476" s="73" t="str">
        <f t="shared" ref="D476" si="820">CONCATENATE(E473,F473)</f>
        <v/>
      </c>
      <c r="E476" s="73" t="s">
        <v>74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>
      <c r="B477" s="102">
        <f>LOOKUP(B473,INICIO!A$10:A$109,INICIO!E$10:E$109)</f>
        <v>0</v>
      </c>
      <c r="C477" s="72" t="s">
        <v>112</v>
      </c>
      <c r="D477" s="73" t="str">
        <f t="shared" ref="D477" si="822">CONCATENATE(E473,F473)</f>
        <v/>
      </c>
      <c r="E477" s="73" t="s">
        <v>75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>
      <c r="B478" s="103"/>
      <c r="C478" s="74" t="s">
        <v>113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>
      <c r="B480" s="101">
        <v>69</v>
      </c>
      <c r="C480" s="70" t="s">
        <v>108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73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>
      <c r="B481" s="102" t="str">
        <f>LOOKUP(B480,INICIO!A$10:A$109,INICIO!K$10:K$109)</f>
        <v/>
      </c>
      <c r="C481" s="72" t="s">
        <v>109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>
      <c r="B482" s="102" t="str">
        <f>LOOKUP(B480,INICIO!A$10:A$109,INICIO!L$10:L$109)</f>
        <v/>
      </c>
      <c r="C482" s="72" t="s">
        <v>110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>
      <c r="B483" s="102">
        <f>LOOKUP(B480,INICIO!A$10:A$109,INICIO!J$10:J$109)</f>
        <v>0</v>
      </c>
      <c r="C483" s="72" t="s">
        <v>111</v>
      </c>
      <c r="D483" s="73" t="str">
        <f t="shared" ref="D483" si="833">CONCATENATE(E480,F480)</f>
        <v/>
      </c>
      <c r="E483" s="73" t="s">
        <v>74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>
      <c r="B484" s="102">
        <f>LOOKUP(B480,INICIO!A$10:A$109,INICIO!E$10:E$109)</f>
        <v>0</v>
      </c>
      <c r="C484" s="72" t="s">
        <v>112</v>
      </c>
      <c r="D484" s="73" t="str">
        <f t="shared" ref="D484" si="835">CONCATENATE(E480,F480)</f>
        <v/>
      </c>
      <c r="E484" s="73" t="s">
        <v>75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>
      <c r="B485" s="103"/>
      <c r="C485" s="74" t="s">
        <v>113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>
      <c r="B487" s="101">
        <v>70</v>
      </c>
      <c r="C487" s="70" t="s">
        <v>108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73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>
      <c r="B488" s="102" t="str">
        <f>LOOKUP(B487,INICIO!A$10:A$109,INICIO!K$10:K$109)</f>
        <v/>
      </c>
      <c r="C488" s="72" t="s">
        <v>109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>
      <c r="B489" s="102" t="str">
        <f>LOOKUP(B487,INICIO!A$10:A$109,INICIO!L$10:L$109)</f>
        <v/>
      </c>
      <c r="C489" s="72" t="s">
        <v>110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>
      <c r="B490" s="102">
        <f>LOOKUP(B487,INICIO!A$10:A$109,INICIO!J$10:J$109)</f>
        <v>0</v>
      </c>
      <c r="C490" s="72" t="s">
        <v>111</v>
      </c>
      <c r="D490" s="73" t="str">
        <f t="shared" ref="D490" si="846">CONCATENATE(E487,F487)</f>
        <v/>
      </c>
      <c r="E490" s="73" t="s">
        <v>74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>
      <c r="B491" s="102">
        <f>LOOKUP(B487,INICIO!A$10:A$109,INICIO!E$10:E$109)</f>
        <v>0</v>
      </c>
      <c r="C491" s="72" t="s">
        <v>112</v>
      </c>
      <c r="D491" s="73" t="str">
        <f t="shared" ref="D491" si="848">CONCATENATE(E487,F487)</f>
        <v/>
      </c>
      <c r="E491" s="73" t="s">
        <v>75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>
      <c r="B492" s="103"/>
      <c r="C492" s="74" t="s">
        <v>113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>
      <c r="B494" s="101">
        <v>71</v>
      </c>
      <c r="C494" s="70" t="s">
        <v>108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73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>
      <c r="B495" s="102" t="str">
        <f>LOOKUP(B494,INICIO!A$10:A$109,INICIO!K$10:K$109)</f>
        <v/>
      </c>
      <c r="C495" s="72" t="s">
        <v>109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>
      <c r="B496" s="102" t="str">
        <f>LOOKUP(B494,INICIO!A$10:A$109,INICIO!L$10:L$109)</f>
        <v/>
      </c>
      <c r="C496" s="72" t="s">
        <v>110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>
      <c r="B497" s="102">
        <f>LOOKUP(B494,INICIO!A$10:A$109,INICIO!J$10:J$109)</f>
        <v>0</v>
      </c>
      <c r="C497" s="72" t="s">
        <v>111</v>
      </c>
      <c r="D497" s="73" t="str">
        <f t="shared" ref="D497" si="859">CONCATENATE(E494,F494)</f>
        <v/>
      </c>
      <c r="E497" s="73" t="s">
        <v>74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>
      <c r="B498" s="102">
        <f>LOOKUP(B494,INICIO!A$10:A$109,INICIO!E$10:E$109)</f>
        <v>0</v>
      </c>
      <c r="C498" s="72" t="s">
        <v>112</v>
      </c>
      <c r="D498" s="73" t="str">
        <f t="shared" ref="D498" si="861">CONCATENATE(E494,F494)</f>
        <v/>
      </c>
      <c r="E498" s="73" t="s">
        <v>75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>
      <c r="B499" s="103"/>
      <c r="C499" s="74" t="s">
        <v>113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>
      <c r="B501" s="101">
        <v>72</v>
      </c>
      <c r="C501" s="70" t="s">
        <v>108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73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>
      <c r="B502" s="102" t="str">
        <f>LOOKUP(B501,INICIO!A$10:A$109,INICIO!K$10:K$109)</f>
        <v/>
      </c>
      <c r="C502" s="72" t="s">
        <v>109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>
      <c r="B503" s="102" t="str">
        <f>LOOKUP(B501,INICIO!A$10:A$109,INICIO!L$10:L$109)</f>
        <v/>
      </c>
      <c r="C503" s="72" t="s">
        <v>110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>
      <c r="B504" s="102">
        <f>LOOKUP(B501,INICIO!A$10:A$109,INICIO!J$10:J$109)</f>
        <v>0</v>
      </c>
      <c r="C504" s="72" t="s">
        <v>111</v>
      </c>
      <c r="D504" s="73" t="str">
        <f t="shared" ref="D504" si="872">CONCATENATE(E501,F501)</f>
        <v/>
      </c>
      <c r="E504" s="73" t="s">
        <v>74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>
      <c r="B505" s="102">
        <f>LOOKUP(B501,INICIO!A$10:A$109,INICIO!E$10:E$109)</f>
        <v>0</v>
      </c>
      <c r="C505" s="72" t="s">
        <v>112</v>
      </c>
      <c r="D505" s="73" t="str">
        <f t="shared" ref="D505" si="874">CONCATENATE(E501,F501)</f>
        <v/>
      </c>
      <c r="E505" s="73" t="s">
        <v>75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>
      <c r="B506" s="103"/>
      <c r="C506" s="74" t="s">
        <v>113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>
      <c r="B508" s="101">
        <v>73</v>
      </c>
      <c r="C508" s="70" t="s">
        <v>108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73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>
      <c r="B509" s="102" t="str">
        <f>LOOKUP(B508,INICIO!A$10:A$109,INICIO!K$10:K$109)</f>
        <v/>
      </c>
      <c r="C509" s="72" t="s">
        <v>109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>
      <c r="B510" s="102" t="str">
        <f>LOOKUP(B508,INICIO!A$10:A$109,INICIO!L$10:L$109)</f>
        <v/>
      </c>
      <c r="C510" s="72" t="s">
        <v>110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>
      <c r="B511" s="102">
        <f>LOOKUP(B508,INICIO!A$10:A$109,INICIO!J$10:J$109)</f>
        <v>0</v>
      </c>
      <c r="C511" s="72" t="s">
        <v>111</v>
      </c>
      <c r="D511" s="73" t="str">
        <f t="shared" ref="D511" si="885">CONCATENATE(E508,F508)</f>
        <v/>
      </c>
      <c r="E511" s="73" t="s">
        <v>74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>
      <c r="B512" s="102">
        <f>LOOKUP(B508,INICIO!A$10:A$109,INICIO!E$10:E$109)</f>
        <v>0</v>
      </c>
      <c r="C512" s="72" t="s">
        <v>112</v>
      </c>
      <c r="D512" s="73" t="str">
        <f t="shared" ref="D512" si="887">CONCATENATE(E508,F508)</f>
        <v/>
      </c>
      <c r="E512" s="73" t="s">
        <v>75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>
      <c r="B513" s="103"/>
      <c r="C513" s="74" t="s">
        <v>113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>
      <c r="B515" s="101">
        <v>74</v>
      </c>
      <c r="C515" s="70" t="s">
        <v>108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73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>
      <c r="B516" s="102" t="str">
        <f>LOOKUP(B515,INICIO!A$10:A$109,INICIO!K$10:K$109)</f>
        <v/>
      </c>
      <c r="C516" s="72" t="s">
        <v>109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>
      <c r="B517" s="102" t="str">
        <f>LOOKUP(B515,INICIO!A$10:A$109,INICIO!L$10:L$109)</f>
        <v/>
      </c>
      <c r="C517" s="72" t="s">
        <v>110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>
      <c r="B518" s="102">
        <f>LOOKUP(B515,INICIO!A$10:A$109,INICIO!J$10:J$109)</f>
        <v>0</v>
      </c>
      <c r="C518" s="72" t="s">
        <v>111</v>
      </c>
      <c r="D518" s="73" t="str">
        <f t="shared" ref="D518" si="899">CONCATENATE(E515,F515)</f>
        <v/>
      </c>
      <c r="E518" s="73" t="s">
        <v>74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>
      <c r="B519" s="102">
        <f>LOOKUP(B515,INICIO!A$10:A$109,INICIO!E$10:E$109)</f>
        <v>0</v>
      </c>
      <c r="C519" s="72" t="s">
        <v>112</v>
      </c>
      <c r="D519" s="73" t="str">
        <f t="shared" ref="D519" si="901">CONCATENATE(E515,F515)</f>
        <v/>
      </c>
      <c r="E519" s="73" t="s">
        <v>75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>
      <c r="B520" s="103"/>
      <c r="C520" s="74" t="s">
        <v>113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>
      <c r="B522" s="101">
        <v>75</v>
      </c>
      <c r="C522" s="70" t="s">
        <v>108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73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>
      <c r="B523" s="102" t="str">
        <f>LOOKUP(B522,INICIO!A$10:A$109,INICIO!K$10:K$109)</f>
        <v/>
      </c>
      <c r="C523" s="72" t="s">
        <v>109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>
      <c r="B524" s="102" t="str">
        <f>LOOKUP(B522,INICIO!A$10:A$109,INICIO!L$10:L$109)</f>
        <v/>
      </c>
      <c r="C524" s="72" t="s">
        <v>110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>
      <c r="B525" s="102">
        <f>LOOKUP(B522,INICIO!A$10:A$109,INICIO!J$10:J$109)</f>
        <v>0</v>
      </c>
      <c r="C525" s="72" t="s">
        <v>111</v>
      </c>
      <c r="D525" s="73" t="str">
        <f t="shared" ref="D525" si="912">CONCATENATE(E522,F522)</f>
        <v/>
      </c>
      <c r="E525" s="73" t="s">
        <v>74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>
      <c r="B526" s="102">
        <f>LOOKUP(B522,INICIO!A$10:A$109,INICIO!E$10:E$109)</f>
        <v>0</v>
      </c>
      <c r="C526" s="72" t="s">
        <v>112</v>
      </c>
      <c r="D526" s="73" t="str">
        <f t="shared" ref="D526" si="914">CONCATENATE(E522,F522)</f>
        <v/>
      </c>
      <c r="E526" s="73" t="s">
        <v>75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>
      <c r="B527" s="103"/>
      <c r="C527" s="74" t="s">
        <v>113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>
      <c r="B529" s="101">
        <v>76</v>
      </c>
      <c r="C529" s="70" t="s">
        <v>108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73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>
      <c r="B530" s="102" t="str">
        <f>LOOKUP(B529,INICIO!A$10:A$109,INICIO!K$10:K$109)</f>
        <v/>
      </c>
      <c r="C530" s="72" t="s">
        <v>109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>
      <c r="B531" s="102" t="str">
        <f>LOOKUP(B529,INICIO!A$10:A$109,INICIO!L$10:L$109)</f>
        <v/>
      </c>
      <c r="C531" s="72" t="s">
        <v>110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>
      <c r="B532" s="102">
        <f>LOOKUP(B529,INICIO!A$10:A$109,INICIO!J$10:J$109)</f>
        <v>0</v>
      </c>
      <c r="C532" s="72" t="s">
        <v>111</v>
      </c>
      <c r="D532" s="73" t="str">
        <f t="shared" ref="D532" si="925">CONCATENATE(E529,F529)</f>
        <v/>
      </c>
      <c r="E532" s="73" t="s">
        <v>74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>
      <c r="B533" s="102">
        <f>LOOKUP(B529,INICIO!A$10:A$109,INICIO!E$10:E$109)</f>
        <v>0</v>
      </c>
      <c r="C533" s="72" t="s">
        <v>112</v>
      </c>
      <c r="D533" s="73" t="str">
        <f t="shared" ref="D533" si="927">CONCATENATE(E529,F529)</f>
        <v/>
      </c>
      <c r="E533" s="73" t="s">
        <v>75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>
      <c r="B534" s="103"/>
      <c r="C534" s="74" t="s">
        <v>113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>
      <c r="B536" s="101">
        <v>77</v>
      </c>
      <c r="C536" s="70" t="s">
        <v>108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73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>
      <c r="B537" s="102" t="str">
        <f>LOOKUP(B536,INICIO!A$10:A$109,INICIO!K$10:K$109)</f>
        <v/>
      </c>
      <c r="C537" s="72" t="s">
        <v>109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>
      <c r="B538" s="102" t="str">
        <f>LOOKUP(B536,INICIO!A$10:A$109,INICIO!L$10:L$109)</f>
        <v/>
      </c>
      <c r="C538" s="72" t="s">
        <v>110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>
      <c r="B539" s="102">
        <f>LOOKUP(B536,INICIO!A$10:A$109,INICIO!J$10:J$109)</f>
        <v>0</v>
      </c>
      <c r="C539" s="72" t="s">
        <v>111</v>
      </c>
      <c r="D539" s="73" t="str">
        <f t="shared" ref="D539" si="938">CONCATENATE(E536,F536)</f>
        <v/>
      </c>
      <c r="E539" s="73" t="s">
        <v>74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>
      <c r="B540" s="102">
        <f>LOOKUP(B536,INICIO!A$10:A$109,INICIO!E$10:E$109)</f>
        <v>0</v>
      </c>
      <c r="C540" s="72" t="s">
        <v>112</v>
      </c>
      <c r="D540" s="73" t="str">
        <f t="shared" ref="D540" si="940">CONCATENATE(E536,F536)</f>
        <v/>
      </c>
      <c r="E540" s="73" t="s">
        <v>75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>
      <c r="B541" s="103"/>
      <c r="C541" s="74" t="s">
        <v>113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>
      <c r="B543" s="101">
        <v>78</v>
      </c>
      <c r="C543" s="70" t="s">
        <v>108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73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>
      <c r="B544" s="102" t="str">
        <f>LOOKUP(B543,INICIO!A$10:A$109,INICIO!K$10:K$109)</f>
        <v/>
      </c>
      <c r="C544" s="72" t="s">
        <v>109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>
      <c r="B545" s="102" t="str">
        <f>LOOKUP(B543,INICIO!A$10:A$109,INICIO!L$10:L$109)</f>
        <v/>
      </c>
      <c r="C545" s="72" t="s">
        <v>110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>
      <c r="B546" s="102">
        <f>LOOKUP(B543,INICIO!A$10:A$109,INICIO!J$10:J$109)</f>
        <v>0</v>
      </c>
      <c r="C546" s="72" t="s">
        <v>111</v>
      </c>
      <c r="D546" s="73" t="str">
        <f t="shared" ref="D546" si="951">CONCATENATE(E543,F543)</f>
        <v/>
      </c>
      <c r="E546" s="73" t="s">
        <v>74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>
      <c r="B547" s="102">
        <f>LOOKUP(B543,INICIO!A$10:A$109,INICIO!E$10:E$109)</f>
        <v>0</v>
      </c>
      <c r="C547" s="72" t="s">
        <v>112</v>
      </c>
      <c r="D547" s="73" t="str">
        <f t="shared" ref="D547" si="953">CONCATENATE(E543,F543)</f>
        <v/>
      </c>
      <c r="E547" s="73" t="s">
        <v>75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>
      <c r="B548" s="103"/>
      <c r="C548" s="74" t="s">
        <v>113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>
      <c r="B550" s="101">
        <v>79</v>
      </c>
      <c r="C550" s="70" t="s">
        <v>108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73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>
      <c r="B551" s="102" t="str">
        <f>LOOKUP(B550,INICIO!A$10:A$109,INICIO!K$10:K$109)</f>
        <v/>
      </c>
      <c r="C551" s="72" t="s">
        <v>109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>
      <c r="B552" s="102" t="str">
        <f>LOOKUP(B550,INICIO!A$10:A$109,INICIO!L$10:L$109)</f>
        <v/>
      </c>
      <c r="C552" s="72" t="s">
        <v>110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>
      <c r="B553" s="102">
        <f>LOOKUP(B550,INICIO!A$10:A$109,INICIO!J$10:J$109)</f>
        <v>0</v>
      </c>
      <c r="C553" s="72" t="s">
        <v>111</v>
      </c>
      <c r="D553" s="73" t="str">
        <f t="shared" ref="D553" si="964">CONCATENATE(E550,F550)</f>
        <v/>
      </c>
      <c r="E553" s="73" t="s">
        <v>74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>
      <c r="B554" s="102">
        <f>LOOKUP(B550,INICIO!A$10:A$109,INICIO!E$10:E$109)</f>
        <v>0</v>
      </c>
      <c r="C554" s="72" t="s">
        <v>112</v>
      </c>
      <c r="D554" s="73" t="str">
        <f t="shared" ref="D554" si="966">CONCATENATE(E550,F550)</f>
        <v/>
      </c>
      <c r="E554" s="73" t="s">
        <v>75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>
      <c r="B555" s="103"/>
      <c r="C555" s="74" t="s">
        <v>113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>
      <c r="B557" s="101">
        <v>80</v>
      </c>
      <c r="C557" s="70" t="s">
        <v>108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73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>
      <c r="B558" s="102" t="str">
        <f>LOOKUP(B557,INICIO!A$10:A$109,INICIO!K$10:K$109)</f>
        <v/>
      </c>
      <c r="C558" s="72" t="s">
        <v>109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>
      <c r="B559" s="102" t="str">
        <f>LOOKUP(B557,INICIO!A$10:A$109,INICIO!L$10:L$109)</f>
        <v/>
      </c>
      <c r="C559" s="72" t="s">
        <v>110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>
      <c r="B560" s="102">
        <f>LOOKUP(B557,INICIO!A$10:A$109,INICIO!J$10:J$109)</f>
        <v>0</v>
      </c>
      <c r="C560" s="72" t="s">
        <v>111</v>
      </c>
      <c r="D560" s="73" t="str">
        <f t="shared" ref="D560" si="977">CONCATENATE(E557,F557)</f>
        <v/>
      </c>
      <c r="E560" s="73" t="s">
        <v>74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>
      <c r="B561" s="102">
        <f>LOOKUP(B557,INICIO!A$10:A$109,INICIO!E$10:E$109)</f>
        <v>0</v>
      </c>
      <c r="C561" s="72" t="s">
        <v>112</v>
      </c>
      <c r="D561" s="73" t="str">
        <f t="shared" ref="D561" si="979">CONCATENATE(E557,F557)</f>
        <v/>
      </c>
      <c r="E561" s="73" t="s">
        <v>75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>
      <c r="B562" s="103"/>
      <c r="C562" s="74" t="s">
        <v>113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>
      <c r="B564" s="101">
        <v>81</v>
      </c>
      <c r="C564" s="70" t="s">
        <v>108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73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>
      <c r="B565" s="102" t="str">
        <f>LOOKUP(B564,INICIO!A$10:A$109,INICIO!K$10:K$109)</f>
        <v/>
      </c>
      <c r="C565" s="72" t="s">
        <v>109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>
      <c r="B566" s="102" t="str">
        <f>LOOKUP(B564,INICIO!A$10:A$109,INICIO!L$10:L$109)</f>
        <v/>
      </c>
      <c r="C566" s="72" t="s">
        <v>110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>
      <c r="B567" s="102">
        <f>LOOKUP(B564,INICIO!A$10:A$109,INICIO!J$10:J$109)</f>
        <v>0</v>
      </c>
      <c r="C567" s="72" t="s">
        <v>111</v>
      </c>
      <c r="D567" s="73" t="str">
        <f t="shared" ref="D567" si="990">CONCATENATE(E564,F564)</f>
        <v/>
      </c>
      <c r="E567" s="73" t="s">
        <v>74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>
      <c r="B568" s="102">
        <f>LOOKUP(B564,INICIO!A$10:A$109,INICIO!E$10:E$109)</f>
        <v>0</v>
      </c>
      <c r="C568" s="72" t="s">
        <v>112</v>
      </c>
      <c r="D568" s="73" t="str">
        <f t="shared" ref="D568" si="992">CONCATENATE(E564,F564)</f>
        <v/>
      </c>
      <c r="E568" s="73" t="s">
        <v>75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>
      <c r="B569" s="103"/>
      <c r="C569" s="74" t="s">
        <v>113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>
      <c r="B571" s="101">
        <v>82</v>
      </c>
      <c r="C571" s="70" t="s">
        <v>108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73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>
      <c r="B572" s="102" t="str">
        <f>LOOKUP(B571,INICIO!A$10:A$109,INICIO!K$10:K$109)</f>
        <v/>
      </c>
      <c r="C572" s="72" t="s">
        <v>109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>
      <c r="B573" s="102" t="str">
        <f>LOOKUP(B571,INICIO!A$10:A$109,INICIO!L$10:L$109)</f>
        <v/>
      </c>
      <c r="C573" s="72" t="s">
        <v>110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>
      <c r="B574" s="102">
        <f>LOOKUP(B571,INICIO!A$10:A$109,INICIO!J$10:J$109)</f>
        <v>0</v>
      </c>
      <c r="C574" s="72" t="s">
        <v>111</v>
      </c>
      <c r="D574" s="73" t="str">
        <f t="shared" ref="D574" si="1003">CONCATENATE(E571,F571)</f>
        <v/>
      </c>
      <c r="E574" s="73" t="s">
        <v>74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>
      <c r="B575" s="102">
        <f>LOOKUP(B571,INICIO!A$10:A$109,INICIO!E$10:E$109)</f>
        <v>0</v>
      </c>
      <c r="C575" s="72" t="s">
        <v>112</v>
      </c>
      <c r="D575" s="73" t="str">
        <f t="shared" ref="D575" si="1005">CONCATENATE(E571,F571)</f>
        <v/>
      </c>
      <c r="E575" s="73" t="s">
        <v>75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>
      <c r="B576" s="103"/>
      <c r="C576" s="74" t="s">
        <v>113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>
      <c r="B578" s="101">
        <v>83</v>
      </c>
      <c r="C578" s="70" t="s">
        <v>108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73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>
      <c r="B579" s="102" t="str">
        <f>LOOKUP(B578,INICIO!A$10:A$109,INICIO!K$10:K$109)</f>
        <v/>
      </c>
      <c r="C579" s="72" t="s">
        <v>109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>
      <c r="B580" s="102" t="str">
        <f>LOOKUP(B578,INICIO!A$10:A$109,INICIO!L$10:L$109)</f>
        <v/>
      </c>
      <c r="C580" s="72" t="s">
        <v>110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>
      <c r="B581" s="102">
        <f>LOOKUP(B578,INICIO!A$10:A$109,INICIO!J$10:J$109)</f>
        <v>0</v>
      </c>
      <c r="C581" s="72" t="s">
        <v>111</v>
      </c>
      <c r="D581" s="73" t="str">
        <f t="shared" ref="D581" si="1017">CONCATENATE(E578,F578)</f>
        <v/>
      </c>
      <c r="E581" s="73" t="s">
        <v>74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>
      <c r="B582" s="102">
        <f>LOOKUP(B578,INICIO!A$10:A$109,INICIO!E$10:E$109)</f>
        <v>0</v>
      </c>
      <c r="C582" s="72" t="s">
        <v>112</v>
      </c>
      <c r="D582" s="73" t="str">
        <f t="shared" ref="D582" si="1019">CONCATENATE(E578,F578)</f>
        <v/>
      </c>
      <c r="E582" s="73" t="s">
        <v>75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>
      <c r="B583" s="103"/>
      <c r="C583" s="74" t="s">
        <v>113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>
      <c r="B585" s="101">
        <v>84</v>
      </c>
      <c r="C585" s="70" t="s">
        <v>108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73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>
      <c r="B586" s="102" t="str">
        <f>LOOKUP(B585,INICIO!A$10:A$109,INICIO!K$10:K$109)</f>
        <v/>
      </c>
      <c r="C586" s="72" t="s">
        <v>109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>
      <c r="B587" s="102" t="str">
        <f>LOOKUP(B585,INICIO!A$10:A$109,INICIO!L$10:L$109)</f>
        <v/>
      </c>
      <c r="C587" s="72" t="s">
        <v>110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>
      <c r="B588" s="102">
        <f>LOOKUP(B585,INICIO!A$10:A$109,INICIO!J$10:J$109)</f>
        <v>0</v>
      </c>
      <c r="C588" s="72" t="s">
        <v>111</v>
      </c>
      <c r="D588" s="73" t="str">
        <f t="shared" ref="D588" si="1030">CONCATENATE(E585,F585)</f>
        <v/>
      </c>
      <c r="E588" s="73" t="s">
        <v>74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>
      <c r="B589" s="102">
        <f>LOOKUP(B585,INICIO!A$10:A$109,INICIO!E$10:E$109)</f>
        <v>0</v>
      </c>
      <c r="C589" s="72" t="s">
        <v>112</v>
      </c>
      <c r="D589" s="73" t="str">
        <f t="shared" ref="D589" si="1032">CONCATENATE(E585,F585)</f>
        <v/>
      </c>
      <c r="E589" s="73" t="s">
        <v>75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>
      <c r="B590" s="103"/>
      <c r="C590" s="74" t="s">
        <v>113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>
      <c r="B592" s="101">
        <v>85</v>
      </c>
      <c r="C592" s="70" t="s">
        <v>108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73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>
      <c r="B593" s="102" t="str">
        <f>LOOKUP(B592,INICIO!A$10:A$109,INICIO!K$10:K$109)</f>
        <v/>
      </c>
      <c r="C593" s="72" t="s">
        <v>109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>
      <c r="B594" s="102" t="str">
        <f>LOOKUP(B592,INICIO!A$10:A$109,INICIO!L$10:L$109)</f>
        <v/>
      </c>
      <c r="C594" s="72" t="s">
        <v>110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>
      <c r="B595" s="102">
        <f>LOOKUP(B592,INICIO!A$10:A$109,INICIO!J$10:J$109)</f>
        <v>0</v>
      </c>
      <c r="C595" s="72" t="s">
        <v>111</v>
      </c>
      <c r="D595" s="73" t="str">
        <f t="shared" ref="D595" si="1043">CONCATENATE(E592,F592)</f>
        <v/>
      </c>
      <c r="E595" s="73" t="s">
        <v>74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>
      <c r="B596" s="102">
        <f>LOOKUP(B592,INICIO!A$10:A$109,INICIO!E$10:E$109)</f>
        <v>0</v>
      </c>
      <c r="C596" s="72" t="s">
        <v>112</v>
      </c>
      <c r="D596" s="73" t="str">
        <f t="shared" ref="D596" si="1045">CONCATENATE(E592,F592)</f>
        <v/>
      </c>
      <c r="E596" s="73" t="s">
        <v>75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>
      <c r="B597" s="103"/>
      <c r="C597" s="74" t="s">
        <v>113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>
      <c r="B599" s="101">
        <v>86</v>
      </c>
      <c r="C599" s="70" t="s">
        <v>108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73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>
      <c r="B600" s="102" t="str">
        <f>LOOKUP(B599,INICIO!A$10:A$109,INICIO!K$10:K$109)</f>
        <v/>
      </c>
      <c r="C600" s="72" t="s">
        <v>109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>
      <c r="B601" s="102" t="str">
        <f>LOOKUP(B599,INICIO!A$10:A$109,INICIO!L$10:L$109)</f>
        <v/>
      </c>
      <c r="C601" s="72" t="s">
        <v>110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>
      <c r="B602" s="102">
        <f>LOOKUP(B599,INICIO!A$10:A$109,INICIO!J$10:J$109)</f>
        <v>0</v>
      </c>
      <c r="C602" s="72" t="s">
        <v>111</v>
      </c>
      <c r="D602" s="73" t="str">
        <f t="shared" ref="D602" si="1056">CONCATENATE(E599,F599)</f>
        <v/>
      </c>
      <c r="E602" s="73" t="s">
        <v>74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>
      <c r="B603" s="102">
        <f>LOOKUP(B599,INICIO!A$10:A$109,INICIO!E$10:E$109)</f>
        <v>0</v>
      </c>
      <c r="C603" s="72" t="s">
        <v>112</v>
      </c>
      <c r="D603" s="73" t="str">
        <f t="shared" ref="D603" si="1058">CONCATENATE(E599,F599)</f>
        <v/>
      </c>
      <c r="E603" s="73" t="s">
        <v>75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>
      <c r="B604" s="103"/>
      <c r="C604" s="74" t="s">
        <v>113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>
      <c r="B606" s="101">
        <v>87</v>
      </c>
      <c r="C606" s="70" t="s">
        <v>108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73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>
      <c r="B607" s="102" t="str">
        <f>LOOKUP(B606,INICIO!A$10:A$109,INICIO!K$10:K$109)</f>
        <v/>
      </c>
      <c r="C607" s="72" t="s">
        <v>109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>
      <c r="B608" s="102" t="str">
        <f>LOOKUP(B606,INICIO!A$10:A$109,INICIO!L$10:L$109)</f>
        <v/>
      </c>
      <c r="C608" s="72" t="s">
        <v>110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>
      <c r="B609" s="102">
        <f>LOOKUP(B606,INICIO!A$10:A$109,INICIO!J$10:J$109)</f>
        <v>0</v>
      </c>
      <c r="C609" s="72" t="s">
        <v>111</v>
      </c>
      <c r="D609" s="73" t="str">
        <f t="shared" ref="D609" si="1069">CONCATENATE(E606,F606)</f>
        <v/>
      </c>
      <c r="E609" s="73" t="s">
        <v>74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>
      <c r="B610" s="102">
        <f>LOOKUP(B606,INICIO!A$10:A$109,INICIO!E$10:E$109)</f>
        <v>0</v>
      </c>
      <c r="C610" s="72" t="s">
        <v>112</v>
      </c>
      <c r="D610" s="73" t="str">
        <f t="shared" ref="D610" si="1071">CONCATENATE(E606,F606)</f>
        <v/>
      </c>
      <c r="E610" s="73" t="s">
        <v>75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>
      <c r="B611" s="103"/>
      <c r="C611" s="74" t="s">
        <v>113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>
      <c r="B613" s="101">
        <v>88</v>
      </c>
      <c r="C613" s="70" t="s">
        <v>108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73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>
      <c r="B614" s="102" t="str">
        <f>LOOKUP(B613,INICIO!A$10:A$109,INICIO!K$10:K$109)</f>
        <v/>
      </c>
      <c r="C614" s="72" t="s">
        <v>109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>
      <c r="B615" s="102" t="str">
        <f>LOOKUP(B613,INICIO!A$10:A$109,INICIO!L$10:L$109)</f>
        <v/>
      </c>
      <c r="C615" s="72" t="s">
        <v>110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>
      <c r="B616" s="102">
        <f>LOOKUP(B613,INICIO!A$10:A$109,INICIO!J$10:J$109)</f>
        <v>0</v>
      </c>
      <c r="C616" s="72" t="s">
        <v>111</v>
      </c>
      <c r="D616" s="73" t="str">
        <f t="shared" ref="D616" si="1082">CONCATENATE(E613,F613)</f>
        <v/>
      </c>
      <c r="E616" s="73" t="s">
        <v>74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>
      <c r="B617" s="102">
        <f>LOOKUP(B613,INICIO!A$10:A$109,INICIO!E$10:E$109)</f>
        <v>0</v>
      </c>
      <c r="C617" s="72" t="s">
        <v>112</v>
      </c>
      <c r="D617" s="73" t="str">
        <f t="shared" ref="D617" si="1084">CONCATENATE(E613,F613)</f>
        <v/>
      </c>
      <c r="E617" s="73" t="s">
        <v>75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>
      <c r="B618" s="103"/>
      <c r="C618" s="74" t="s">
        <v>113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>
      <c r="B620" s="101">
        <v>89</v>
      </c>
      <c r="C620" s="70" t="s">
        <v>108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73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>
      <c r="B621" s="102" t="str">
        <f>LOOKUP(B620,INICIO!A$10:A$109,INICIO!K$10:K$109)</f>
        <v/>
      </c>
      <c r="C621" s="72" t="s">
        <v>109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>
      <c r="B622" s="102" t="str">
        <f>LOOKUP(B620,INICIO!A$10:A$109,INICIO!L$10:L$109)</f>
        <v/>
      </c>
      <c r="C622" s="72" t="s">
        <v>110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>
      <c r="B623" s="102">
        <f>LOOKUP(B620,INICIO!A$10:A$109,INICIO!J$10:J$109)</f>
        <v>0</v>
      </c>
      <c r="C623" s="72" t="s">
        <v>111</v>
      </c>
      <c r="D623" s="73" t="str">
        <f t="shared" ref="D623" si="1095">CONCATENATE(E620,F620)</f>
        <v/>
      </c>
      <c r="E623" s="73" t="s">
        <v>74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>
      <c r="B624" s="102">
        <f>LOOKUP(B620,INICIO!A$10:A$109,INICIO!E$10:E$109)</f>
        <v>0</v>
      </c>
      <c r="C624" s="72" t="s">
        <v>112</v>
      </c>
      <c r="D624" s="73" t="str">
        <f t="shared" ref="D624" si="1097">CONCATENATE(E620,F620)</f>
        <v/>
      </c>
      <c r="E624" s="73" t="s">
        <v>75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>
      <c r="B625" s="103"/>
      <c r="C625" s="74" t="s">
        <v>113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>
      <c r="B627" s="101">
        <v>90</v>
      </c>
      <c r="C627" s="70" t="s">
        <v>108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73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>
      <c r="B628" s="102" t="str">
        <f>LOOKUP(B627,INICIO!A$10:A$109,INICIO!K$10:K$109)</f>
        <v/>
      </c>
      <c r="C628" s="72" t="s">
        <v>109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>
      <c r="B629" s="102" t="str">
        <f>LOOKUP(B627,INICIO!A$10:A$109,INICIO!L$10:L$109)</f>
        <v/>
      </c>
      <c r="C629" s="72" t="s">
        <v>110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>
      <c r="B630" s="102">
        <f>LOOKUP(B627,INICIO!A$10:A$109,INICIO!J$10:J$109)</f>
        <v>0</v>
      </c>
      <c r="C630" s="72" t="s">
        <v>111</v>
      </c>
      <c r="D630" s="73" t="str">
        <f t="shared" ref="D630" si="1108">CONCATENATE(E627,F627)</f>
        <v/>
      </c>
      <c r="E630" s="73" t="s">
        <v>74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>
      <c r="B631" s="102">
        <f>LOOKUP(B627,INICIO!A$10:A$109,INICIO!E$10:E$109)</f>
        <v>0</v>
      </c>
      <c r="C631" s="72" t="s">
        <v>112</v>
      </c>
      <c r="D631" s="73" t="str">
        <f t="shared" ref="D631" si="1110">CONCATENATE(E627,F627)</f>
        <v/>
      </c>
      <c r="E631" s="73" t="s">
        <v>75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>
      <c r="B632" s="103"/>
      <c r="C632" s="74" t="s">
        <v>113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>
      <c r="B634" s="101">
        <v>91</v>
      </c>
      <c r="C634" s="70" t="s">
        <v>108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73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>
      <c r="B635" s="102" t="str">
        <f>LOOKUP(B634,INICIO!A$10:A$109,INICIO!K$10:K$109)</f>
        <v/>
      </c>
      <c r="C635" s="72" t="s">
        <v>109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>
      <c r="B636" s="102" t="str">
        <f>LOOKUP(B634,INICIO!A$10:A$109,INICIO!L$10:L$109)</f>
        <v/>
      </c>
      <c r="C636" s="72" t="s">
        <v>110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>
      <c r="B637" s="102">
        <f>LOOKUP(B634,INICIO!A$10:A$109,INICIO!J$10:J$109)</f>
        <v>0</v>
      </c>
      <c r="C637" s="72" t="s">
        <v>111</v>
      </c>
      <c r="D637" s="73" t="str">
        <f t="shared" ref="D637" si="1121">CONCATENATE(E634,F634)</f>
        <v/>
      </c>
      <c r="E637" s="73" t="s">
        <v>74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>
      <c r="B638" s="102">
        <f>LOOKUP(B634,INICIO!A$10:A$109,INICIO!E$10:E$109)</f>
        <v>0</v>
      </c>
      <c r="C638" s="72" t="s">
        <v>112</v>
      </c>
      <c r="D638" s="73" t="str">
        <f t="shared" ref="D638" si="1123">CONCATENATE(E634,F634)</f>
        <v/>
      </c>
      <c r="E638" s="73" t="s">
        <v>75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>
      <c r="B639" s="103"/>
      <c r="C639" s="74" t="s">
        <v>113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>
      <c r="B641" s="101">
        <v>92</v>
      </c>
      <c r="C641" s="70" t="s">
        <v>108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73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>
      <c r="B642" s="102" t="str">
        <f>LOOKUP(B641,INICIO!A$10:A$109,INICIO!K$10:K$109)</f>
        <v/>
      </c>
      <c r="C642" s="72" t="s">
        <v>109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>
      <c r="B643" s="102" t="str">
        <f>LOOKUP(B641,INICIO!A$10:A$109,INICIO!L$10:L$109)</f>
        <v/>
      </c>
      <c r="C643" s="72" t="s">
        <v>110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>
      <c r="B644" s="102">
        <f>LOOKUP(B641,INICIO!A$10:A$109,INICIO!J$10:J$109)</f>
        <v>0</v>
      </c>
      <c r="C644" s="72" t="s">
        <v>111</v>
      </c>
      <c r="D644" s="73" t="str">
        <f t="shared" ref="D644" si="1134">CONCATENATE(E641,F641)</f>
        <v/>
      </c>
      <c r="E644" s="73" t="s">
        <v>74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>
      <c r="B645" s="102">
        <f>LOOKUP(B641,INICIO!A$10:A$109,INICIO!E$10:E$109)</f>
        <v>0</v>
      </c>
      <c r="C645" s="72" t="s">
        <v>112</v>
      </c>
      <c r="D645" s="73" t="str">
        <f t="shared" ref="D645" si="1137">CONCATENATE(E641,F641)</f>
        <v/>
      </c>
      <c r="E645" s="73" t="s">
        <v>75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>
      <c r="B646" s="103"/>
      <c r="C646" s="74" t="s">
        <v>113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>
      <c r="B648" s="101">
        <v>93</v>
      </c>
      <c r="C648" s="70" t="s">
        <v>108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73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>
      <c r="B649" s="102" t="str">
        <f>LOOKUP(B648,INICIO!A$10:A$109,INICIO!K$10:K$109)</f>
        <v/>
      </c>
      <c r="C649" s="72" t="s">
        <v>109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>
      <c r="B650" s="102" t="str">
        <f>LOOKUP(B648,INICIO!A$10:A$109,INICIO!L$10:L$109)</f>
        <v/>
      </c>
      <c r="C650" s="72" t="s">
        <v>110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>
      <c r="B651" s="102">
        <f>LOOKUP(B648,INICIO!A$10:A$109,INICIO!J$10:J$109)</f>
        <v>0</v>
      </c>
      <c r="C651" s="72" t="s">
        <v>111</v>
      </c>
      <c r="D651" s="73" t="str">
        <f t="shared" ref="D651" si="1148">CONCATENATE(E648,F648)</f>
        <v/>
      </c>
      <c r="E651" s="73" t="s">
        <v>74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>
      <c r="B652" s="102">
        <f>LOOKUP(B648,INICIO!A$10:A$109,INICIO!E$10:E$109)</f>
        <v>0</v>
      </c>
      <c r="C652" s="72" t="s">
        <v>112</v>
      </c>
      <c r="D652" s="73" t="str">
        <f t="shared" ref="D652" si="1150">CONCATENATE(E648,F648)</f>
        <v/>
      </c>
      <c r="E652" s="73" t="s">
        <v>75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>
      <c r="B653" s="103"/>
      <c r="C653" s="74" t="s">
        <v>113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>
      <c r="B655" s="101">
        <v>94</v>
      </c>
      <c r="C655" s="70" t="s">
        <v>108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73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>
      <c r="B656" s="102" t="str">
        <f>LOOKUP(B655,INICIO!A$10:A$109,INICIO!K$10:K$109)</f>
        <v/>
      </c>
      <c r="C656" s="72" t="s">
        <v>109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>
      <c r="B657" s="102" t="str">
        <f>LOOKUP(B655,INICIO!A$10:A$109,INICIO!L$10:L$109)</f>
        <v/>
      </c>
      <c r="C657" s="72" t="s">
        <v>110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>
      <c r="B658" s="102">
        <f>LOOKUP(B655,INICIO!A$10:A$109,INICIO!J$10:J$109)</f>
        <v>0</v>
      </c>
      <c r="C658" s="72" t="s">
        <v>111</v>
      </c>
      <c r="D658" s="73" t="str">
        <f t="shared" ref="D658" si="1161">CONCATENATE(E655,F655)</f>
        <v/>
      </c>
      <c r="E658" s="73" t="s">
        <v>74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>
      <c r="B659" s="102">
        <f>LOOKUP(B655,INICIO!A$10:A$109,INICIO!E$10:E$109)</f>
        <v>0</v>
      </c>
      <c r="C659" s="72" t="s">
        <v>112</v>
      </c>
      <c r="D659" s="73" t="str">
        <f t="shared" ref="D659" si="1163">CONCATENATE(E655,F655)</f>
        <v/>
      </c>
      <c r="E659" s="73" t="s">
        <v>75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>
      <c r="B660" s="103"/>
      <c r="C660" s="74" t="s">
        <v>113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>
      <c r="B662" s="101">
        <v>95</v>
      </c>
      <c r="C662" s="70" t="s">
        <v>108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73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>
      <c r="B663" s="102" t="str">
        <f>LOOKUP(B662,INICIO!A$10:A$109,INICIO!K$10:K$109)</f>
        <v/>
      </c>
      <c r="C663" s="72" t="s">
        <v>109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>
      <c r="B664" s="102" t="str">
        <f>LOOKUP(B662,INICIO!A$10:A$109,INICIO!L$10:L$109)</f>
        <v/>
      </c>
      <c r="C664" s="72" t="s">
        <v>110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>
      <c r="B665" s="102">
        <f>LOOKUP(B662,INICIO!A$10:A$109,INICIO!J$10:J$109)</f>
        <v>0</v>
      </c>
      <c r="C665" s="72" t="s">
        <v>111</v>
      </c>
      <c r="D665" s="73" t="str">
        <f t="shared" ref="D665" si="1174">CONCATENATE(E662,F662)</f>
        <v/>
      </c>
      <c r="E665" s="73" t="s">
        <v>74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>
      <c r="B666" s="102">
        <f>LOOKUP(B662,INICIO!A$10:A$109,INICIO!E$10:E$109)</f>
        <v>0</v>
      </c>
      <c r="C666" s="72" t="s">
        <v>112</v>
      </c>
      <c r="D666" s="73" t="str">
        <f t="shared" ref="D666" si="1176">CONCATENATE(E662,F662)</f>
        <v/>
      </c>
      <c r="E666" s="73" t="s">
        <v>75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>
      <c r="B667" s="103"/>
      <c r="C667" s="74" t="s">
        <v>113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>
      <c r="B669" s="101">
        <v>96</v>
      </c>
      <c r="C669" s="70" t="s">
        <v>108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73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>
      <c r="B670" s="102" t="str">
        <f>LOOKUP(B669,INICIO!A$10:A$109,INICIO!K$10:K$109)</f>
        <v/>
      </c>
      <c r="C670" s="72" t="s">
        <v>109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>
      <c r="B671" s="102" t="str">
        <f>LOOKUP(B669,INICIO!A$10:A$109,INICIO!L$10:L$109)</f>
        <v/>
      </c>
      <c r="C671" s="72" t="s">
        <v>110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>
      <c r="B672" s="102">
        <f>LOOKUP(B669,INICIO!A$10:A$109,INICIO!J$10:J$109)</f>
        <v>0</v>
      </c>
      <c r="C672" s="72" t="s">
        <v>111</v>
      </c>
      <c r="D672" s="73" t="str">
        <f t="shared" ref="D672" si="1187">CONCATENATE(E669,F669)</f>
        <v/>
      </c>
      <c r="E672" s="73" t="s">
        <v>74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>
      <c r="B673" s="102">
        <f>LOOKUP(B669,INICIO!A$10:A$109,INICIO!E$10:E$109)</f>
        <v>0</v>
      </c>
      <c r="C673" s="72" t="s">
        <v>112</v>
      </c>
      <c r="D673" s="73" t="str">
        <f t="shared" ref="D673" si="1189">CONCATENATE(E669,F669)</f>
        <v/>
      </c>
      <c r="E673" s="73" t="s">
        <v>75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>
      <c r="B674" s="103"/>
      <c r="C674" s="74" t="s">
        <v>113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>
      <c r="B676" s="101">
        <v>97</v>
      </c>
      <c r="C676" s="70" t="s">
        <v>108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73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>
      <c r="B677" s="102" t="str">
        <f>LOOKUP(B676,INICIO!A$10:A$109,INICIO!K$10:K$109)</f>
        <v/>
      </c>
      <c r="C677" s="72" t="s">
        <v>109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>
      <c r="B678" s="102" t="str">
        <f>LOOKUP(B676,INICIO!A$10:A$109,INICIO!L$10:L$109)</f>
        <v/>
      </c>
      <c r="C678" s="72" t="s">
        <v>110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>
      <c r="B679" s="102">
        <f>LOOKUP(B676,INICIO!A$10:A$109,INICIO!J$10:J$109)</f>
        <v>0</v>
      </c>
      <c r="C679" s="72" t="s">
        <v>111</v>
      </c>
      <c r="D679" s="73" t="str">
        <f t="shared" ref="D679" si="1200">CONCATENATE(E676,F676)</f>
        <v/>
      </c>
      <c r="E679" s="73" t="s">
        <v>74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>
      <c r="B680" s="102">
        <f>LOOKUP(B676,INICIO!A$10:A$109,INICIO!E$10:E$109)</f>
        <v>0</v>
      </c>
      <c r="C680" s="72" t="s">
        <v>112</v>
      </c>
      <c r="D680" s="73" t="str">
        <f t="shared" ref="D680" si="1202">CONCATENATE(E676,F676)</f>
        <v/>
      </c>
      <c r="E680" s="73" t="s">
        <v>75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>
      <c r="B681" s="103"/>
      <c r="C681" s="74" t="s">
        <v>113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>
      <c r="B683" s="101">
        <v>98</v>
      </c>
      <c r="C683" s="70" t="s">
        <v>108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73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>
      <c r="B684" s="102" t="str">
        <f>LOOKUP(B683,INICIO!A$10:A$109,INICIO!K$10:K$109)</f>
        <v/>
      </c>
      <c r="C684" s="72" t="s">
        <v>109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>
      <c r="B685" s="102" t="str">
        <f>LOOKUP(B683,INICIO!A$10:A$109,INICIO!L$10:L$109)</f>
        <v/>
      </c>
      <c r="C685" s="72" t="s">
        <v>110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>
      <c r="B686" s="102">
        <f>LOOKUP(B683,INICIO!A$10:A$109,INICIO!J$10:J$109)</f>
        <v>0</v>
      </c>
      <c r="C686" s="72" t="s">
        <v>111</v>
      </c>
      <c r="D686" s="73" t="str">
        <f t="shared" ref="D686" si="1213">CONCATENATE(E683,F683)</f>
        <v/>
      </c>
      <c r="E686" s="73" t="s">
        <v>74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>
      <c r="B687" s="102">
        <f>LOOKUP(B683,INICIO!A$10:A$109,INICIO!E$10:E$109)</f>
        <v>0</v>
      </c>
      <c r="C687" s="72" t="s">
        <v>112</v>
      </c>
      <c r="D687" s="73" t="str">
        <f t="shared" ref="D687" si="1215">CONCATENATE(E683,F683)</f>
        <v/>
      </c>
      <c r="E687" s="73" t="s">
        <v>75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>
      <c r="B688" s="103"/>
      <c r="C688" s="74" t="s">
        <v>113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>
      <c r="B690" s="101">
        <v>99</v>
      </c>
      <c r="C690" s="70" t="s">
        <v>108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73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>
      <c r="B691" s="102" t="str">
        <f>LOOKUP(B690,INICIO!A$10:A$109,INICIO!K$10:K$109)</f>
        <v/>
      </c>
      <c r="C691" s="72" t="s">
        <v>109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>
      <c r="B692" s="102" t="str">
        <f>LOOKUP(B690,INICIO!A$10:A$109,INICIO!L$10:L$109)</f>
        <v/>
      </c>
      <c r="C692" s="72" t="s">
        <v>110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>
      <c r="B693" s="102">
        <f>LOOKUP(B690,INICIO!A$10:A$109,INICIO!J$10:J$109)</f>
        <v>0</v>
      </c>
      <c r="C693" s="72" t="s">
        <v>111</v>
      </c>
      <c r="D693" s="73" t="str">
        <f t="shared" ref="D693" si="1226">CONCATENATE(E690,F690)</f>
        <v/>
      </c>
      <c r="E693" s="73" t="s">
        <v>74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>
      <c r="B694" s="102">
        <f>LOOKUP(B690,INICIO!A$10:A$109,INICIO!E$10:E$109)</f>
        <v>0</v>
      </c>
      <c r="C694" s="72" t="s">
        <v>112</v>
      </c>
      <c r="D694" s="73" t="str">
        <f t="shared" ref="D694" si="1228">CONCATENATE(E690,F690)</f>
        <v/>
      </c>
      <c r="E694" s="73" t="s">
        <v>75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>
      <c r="B695" s="103"/>
      <c r="C695" s="74" t="s">
        <v>113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>
      <c r="B697" s="101">
        <v>100</v>
      </c>
      <c r="C697" s="70" t="s">
        <v>108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73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>
      <c r="B698" s="102" t="str">
        <f>LOOKUP(B697,INICIO!A$10:A$109,INICIO!K$10:K$109)</f>
        <v/>
      </c>
      <c r="C698" s="72" t="s">
        <v>109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>
      <c r="B699" s="102" t="str">
        <f>LOOKUP(B697,INICIO!A$10:A$109,INICIO!L$10:L$109)</f>
        <v/>
      </c>
      <c r="C699" s="72" t="s">
        <v>110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>
      <c r="B700" s="102">
        <f>LOOKUP(B697,INICIO!A$10:A$109,INICIO!J$10:J$109)</f>
        <v>0</v>
      </c>
      <c r="C700" s="72" t="s">
        <v>111</v>
      </c>
      <c r="D700" s="73" t="str">
        <f t="shared" ref="D700" si="1239">CONCATENATE(E697,F697)</f>
        <v/>
      </c>
      <c r="E700" s="73" t="s">
        <v>74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>
      <c r="B701" s="102">
        <f>LOOKUP(B697,INICIO!A$10:A$109,INICIO!E$10:E$109)</f>
        <v>0</v>
      </c>
      <c r="C701" s="72" t="s">
        <v>112</v>
      </c>
      <c r="D701" s="73" t="str">
        <f t="shared" ref="D701" si="1241">CONCATENATE(E697,F697)</f>
        <v/>
      </c>
      <c r="E701" s="73" t="s">
        <v>75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>
      <c r="B702" s="103"/>
      <c r="C702" s="74" t="s">
        <v>113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>
      <c r="H703" s="104">
        <f t="shared" si="1135"/>
        <v>1</v>
      </c>
      <c r="I703" s="3" t="s">
        <v>153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 filterMode="1">
    <tabColor theme="9" tint="0.39997558519241921"/>
  </sheetPr>
  <dimension ref="A1:G113"/>
  <sheetViews>
    <sheetView showGridLines="0" topLeftCell="E1" workbookViewId="0">
      <selection activeCell="F1" sqref="F1:G113"/>
    </sheetView>
  </sheetViews>
  <sheetFormatPr defaultRowHeight="1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>
      <c r="F1" s="35" t="s">
        <v>149</v>
      </c>
      <c r="G1" s="35" t="s">
        <v>117</v>
      </c>
    </row>
    <row r="2" spans="2:7">
      <c r="F2">
        <f>IF(G2&lt;&gt;"",1,0)</f>
        <v>1</v>
      </c>
      <c r="G2" s="3" t="str">
        <f>CONCATENATE("        public void CriarTabelas_",INICIO!D3,"()")</f>
        <v xml:space="preserve">        public void CriarTabelas_Distribuicao()</v>
      </c>
    </row>
    <row r="3" spans="2:7">
      <c r="F3">
        <f t="shared" ref="F3:F66" si="0">IF(G3&lt;&gt;"",1,0)</f>
        <v>1</v>
      </c>
      <c r="G3" s="3" t="s">
        <v>70</v>
      </c>
    </row>
    <row r="4" spans="2:7">
      <c r="F4">
        <f t="shared" si="0"/>
        <v>1</v>
      </c>
      <c r="G4" s="3" t="s">
        <v>146</v>
      </c>
    </row>
    <row r="5" spans="2:7">
      <c r="F5">
        <f t="shared" si="0"/>
        <v>1</v>
      </c>
      <c r="G5" s="3" t="s">
        <v>9</v>
      </c>
    </row>
    <row r="6" spans="2:7">
      <c r="F6">
        <f t="shared" si="0"/>
        <v>1</v>
      </c>
      <c r="G6" s="3" t="s">
        <v>10</v>
      </c>
    </row>
    <row r="7" spans="2:7">
      <c r="F7">
        <f t="shared" si="0"/>
        <v>1</v>
      </c>
      <c r="G7" s="3" t="s">
        <v>11</v>
      </c>
    </row>
    <row r="8" spans="2:7">
      <c r="F8">
        <f t="shared" si="0"/>
        <v>1</v>
      </c>
      <c r="G8" s="3" t="s">
        <v>147</v>
      </c>
    </row>
    <row r="9" spans="2:7">
      <c r="B9" t="s">
        <v>69</v>
      </c>
      <c r="C9" s="19" t="str">
        <f>INICIO!D3</f>
        <v>Distribuicao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`Distribuicao` ("</v>
      </c>
    </row>
    <row r="10" spans="2:7">
      <c r="B10" t="s">
        <v>66</v>
      </c>
      <c r="C10" s="7" t="str">
        <f>INICIO!S10</f>
        <v>`Dis_Id` INT NOT NULL AUTO_INCREMENT,</v>
      </c>
      <c r="D10" t="s">
        <v>65</v>
      </c>
      <c r="F10">
        <f t="shared" si="0"/>
        <v>1</v>
      </c>
      <c r="G10" s="3" t="str">
        <f>IF(INICIO!J10,CONCATENATE("                ",B10,C10,D10),"")</f>
        <v xml:space="preserve">                 + "`Dis_Id` INT NOT NULL AUTO_INCREMENT,"</v>
      </c>
    </row>
    <row r="11" spans="2:7">
      <c r="B11" t="s">
        <v>66</v>
      </c>
      <c r="C11" s="7" t="str">
        <f>INICIO!S11</f>
        <v>`Dis_DataDefinida` DATETIME NULL ,</v>
      </c>
      <c r="D11" t="s">
        <v>65</v>
      </c>
      <c r="F11">
        <f t="shared" si="0"/>
        <v>1</v>
      </c>
      <c r="G11" s="3" t="str">
        <f>IF(INICIO!J11,CONCATENATE("                ",B11,C11,D11),"")</f>
        <v xml:space="preserve">                 + "`Dis_DataDefinida` DATETIME NULL ,"</v>
      </c>
    </row>
    <row r="12" spans="2:7">
      <c r="B12" t="s">
        <v>66</v>
      </c>
      <c r="C12" s="7" t="str">
        <f>INICIO!S12</f>
        <v>`Dis_DataGravacao` DATETIME NULL ,</v>
      </c>
      <c r="D12" t="s">
        <v>65</v>
      </c>
      <c r="F12">
        <f t="shared" si="0"/>
        <v>1</v>
      </c>
      <c r="G12" s="3" t="str">
        <f>IF(INICIO!J12,CONCATENATE("                ",B12,C12,D12),"")</f>
        <v xml:space="preserve">                 + "`Dis_DataGravacao` DATETIME NULL ,"</v>
      </c>
    </row>
    <row r="13" spans="2:7">
      <c r="B13" t="s">
        <v>66</v>
      </c>
      <c r="C13" s="7" t="str">
        <f>INICIO!S13</f>
        <v>`Dis_Total` DECIMAL(10,2) NULL ,</v>
      </c>
      <c r="D13" t="s">
        <v>65</v>
      </c>
      <c r="F13">
        <f t="shared" si="0"/>
        <v>1</v>
      </c>
      <c r="G13" s="3" t="str">
        <f>IF(INICIO!J13,CONCATENATE("                ",B13,C13,D13),"")</f>
        <v xml:space="preserve">                 + "`Dis_Total` DECIMAL(10,2) NULL ,"</v>
      </c>
    </row>
    <row r="14" spans="2:7">
      <c r="B14" t="s">
        <v>66</v>
      </c>
      <c r="C14" s="7" t="str">
        <f>INICIO!S14</f>
        <v>`Dis_Operador` INT NULL ,</v>
      </c>
      <c r="D14" t="s">
        <v>65</v>
      </c>
      <c r="F14">
        <f t="shared" si="0"/>
        <v>1</v>
      </c>
      <c r="G14" s="3" t="str">
        <f>IF(INICIO!J14,CONCATENATE("                ",B14,C14,D14),"")</f>
        <v xml:space="preserve">                 + "`Dis_Operador` INT NULL ,"</v>
      </c>
    </row>
    <row r="15" spans="2:7" hidden="1">
      <c r="B15" t="s">
        <v>66</v>
      </c>
      <c r="C15" s="7" t="str">
        <f>INICIO!S15</f>
        <v/>
      </c>
      <c r="D15" t="s">
        <v>65</v>
      </c>
      <c r="F15">
        <f t="shared" si="0"/>
        <v>0</v>
      </c>
      <c r="G15" s="3" t="str">
        <f>IF(INICIO!J15,CONCATENATE("                ",B15,C15,D15),"")</f>
        <v/>
      </c>
    </row>
    <row r="16" spans="2:7" hidden="1">
      <c r="B16" t="s">
        <v>66</v>
      </c>
      <c r="C16" s="7" t="str">
        <f>INICIO!S16</f>
        <v/>
      </c>
      <c r="D16" t="s">
        <v>65</v>
      </c>
      <c r="F16">
        <f t="shared" si="0"/>
        <v>0</v>
      </c>
      <c r="G16" s="3" t="str">
        <f>IF(INICIO!J16,CONCATENATE("                ",B16,C16,D16),"")</f>
        <v/>
      </c>
    </row>
    <row r="17" spans="2:7" hidden="1">
      <c r="B17" t="s">
        <v>66</v>
      </c>
      <c r="C17" s="7" t="str">
        <f>INICIO!S17</f>
        <v/>
      </c>
      <c r="D17" t="s">
        <v>65</v>
      </c>
      <c r="F17">
        <f t="shared" si="0"/>
        <v>0</v>
      </c>
      <c r="G17" s="3" t="str">
        <f>IF(INICIO!J17,CONCATENATE("                ",B17,C17,D17),"")</f>
        <v/>
      </c>
    </row>
    <row r="18" spans="2:7" hidden="1">
      <c r="B18" t="s">
        <v>66</v>
      </c>
      <c r="C18" s="7" t="str">
        <f>INICIO!S18</f>
        <v/>
      </c>
      <c r="D18" t="s">
        <v>65</v>
      </c>
      <c r="F18">
        <f t="shared" si="0"/>
        <v>0</v>
      </c>
      <c r="G18" s="3" t="str">
        <f>IF(INICIO!J18,CONCATENATE("                ",B18,C18,D18),"")</f>
        <v/>
      </c>
    </row>
    <row r="19" spans="2:7" hidden="1">
      <c r="B19" t="s">
        <v>66</v>
      </c>
      <c r="C19" s="7" t="str">
        <f>INICIO!S19</f>
        <v/>
      </c>
      <c r="D19" t="s">
        <v>65</v>
      </c>
      <c r="F19">
        <f t="shared" si="0"/>
        <v>0</v>
      </c>
      <c r="G19" s="3" t="str">
        <f>IF(INICIO!J19,CONCATENATE("                ",B19,C19,D19),"")</f>
        <v/>
      </c>
    </row>
    <row r="20" spans="2:7" hidden="1">
      <c r="B20" t="s">
        <v>66</v>
      </c>
      <c r="C20" s="7" t="str">
        <f>INICIO!S20</f>
        <v/>
      </c>
      <c r="D20" t="s">
        <v>65</v>
      </c>
      <c r="F20">
        <f t="shared" si="0"/>
        <v>0</v>
      </c>
      <c r="G20" s="3" t="str">
        <f>IF(INICIO!J20,CONCATENATE("                ",B20,C20,D20),"")</f>
        <v/>
      </c>
    </row>
    <row r="21" spans="2:7" hidden="1">
      <c r="B21" t="s">
        <v>66</v>
      </c>
      <c r="C21" s="7" t="str">
        <f>INICIO!S21</f>
        <v/>
      </c>
      <c r="D21" t="s">
        <v>65</v>
      </c>
      <c r="F21">
        <f t="shared" si="0"/>
        <v>0</v>
      </c>
      <c r="G21" s="3" t="str">
        <f>IF(INICIO!J21,CONCATENATE("                ",B21,C21,D21),"")</f>
        <v/>
      </c>
    </row>
    <row r="22" spans="2:7" hidden="1">
      <c r="B22" t="s">
        <v>66</v>
      </c>
      <c r="C22" s="7" t="str">
        <f>INICIO!S22</f>
        <v/>
      </c>
      <c r="D22" t="s">
        <v>65</v>
      </c>
      <c r="F22">
        <f t="shared" si="0"/>
        <v>0</v>
      </c>
      <c r="G22" s="3" t="str">
        <f>IF(INICIO!J22,CONCATENATE("                ",B22,C22,D22),"")</f>
        <v/>
      </c>
    </row>
    <row r="23" spans="2:7" hidden="1">
      <c r="B23" t="s">
        <v>66</v>
      </c>
      <c r="C23" s="7" t="str">
        <f>INICIO!S23</f>
        <v/>
      </c>
      <c r="D23" t="s">
        <v>65</v>
      </c>
      <c r="F23">
        <f t="shared" si="0"/>
        <v>0</v>
      </c>
      <c r="G23" s="3" t="str">
        <f>IF(INICIO!J23,CONCATENATE("                ",B23,C23,D23),"")</f>
        <v/>
      </c>
    </row>
    <row r="24" spans="2:7" hidden="1">
      <c r="B24" t="s">
        <v>66</v>
      </c>
      <c r="C24" s="7" t="str">
        <f>INICIO!S24</f>
        <v/>
      </c>
      <c r="D24" t="s">
        <v>65</v>
      </c>
      <c r="F24">
        <f t="shared" si="0"/>
        <v>0</v>
      </c>
      <c r="G24" s="3" t="str">
        <f>IF(INICIO!J24,CONCATENATE("                ",B24,C24,D24),"")</f>
        <v/>
      </c>
    </row>
    <row r="25" spans="2:7" hidden="1">
      <c r="B25" t="s">
        <v>66</v>
      </c>
      <c r="C25" s="7" t="str">
        <f>INICIO!S25</f>
        <v/>
      </c>
      <c r="D25" t="s">
        <v>65</v>
      </c>
      <c r="F25">
        <f t="shared" si="0"/>
        <v>0</v>
      </c>
      <c r="G25" s="3" t="str">
        <f>IF(INICIO!J25,CONCATENATE("                ",B25,C25,D25),"")</f>
        <v/>
      </c>
    </row>
    <row r="26" spans="2:7" hidden="1">
      <c r="B26" t="s">
        <v>66</v>
      </c>
      <c r="C26" s="7" t="str">
        <f>INICIO!S26</f>
        <v/>
      </c>
      <c r="D26" t="s">
        <v>65</v>
      </c>
      <c r="F26">
        <f t="shared" si="0"/>
        <v>0</v>
      </c>
      <c r="G26" s="3" t="str">
        <f>IF(INICIO!J26,CONCATENATE("                ",B26,C26,D26),"")</f>
        <v/>
      </c>
    </row>
    <row r="27" spans="2:7" hidden="1">
      <c r="B27" t="s">
        <v>66</v>
      </c>
      <c r="C27" s="7" t="str">
        <f>INICIO!S27</f>
        <v/>
      </c>
      <c r="D27" t="s">
        <v>65</v>
      </c>
      <c r="F27">
        <f t="shared" si="0"/>
        <v>0</v>
      </c>
      <c r="G27" s="3" t="str">
        <f>IF(INICIO!J27,CONCATENATE("                ",B27,C27,D27),"")</f>
        <v/>
      </c>
    </row>
    <row r="28" spans="2:7" hidden="1">
      <c r="B28" t="s">
        <v>66</v>
      </c>
      <c r="C28" s="7" t="str">
        <f>INICIO!S28</f>
        <v/>
      </c>
      <c r="D28" t="s">
        <v>65</v>
      </c>
      <c r="F28">
        <f t="shared" si="0"/>
        <v>0</v>
      </c>
      <c r="G28" s="3" t="str">
        <f>IF(INICIO!J28,CONCATENATE("                ",B28,C28,D28),"")</f>
        <v/>
      </c>
    </row>
    <row r="29" spans="2:7" hidden="1">
      <c r="B29" t="s">
        <v>66</v>
      </c>
      <c r="C29" s="7" t="str">
        <f>INICIO!S29</f>
        <v/>
      </c>
      <c r="D29" t="s">
        <v>65</v>
      </c>
      <c r="F29">
        <f t="shared" si="0"/>
        <v>0</v>
      </c>
      <c r="G29" s="3" t="str">
        <f>IF(INICIO!J29,CONCATENATE("                ",B29,C29,D29),"")</f>
        <v/>
      </c>
    </row>
    <row r="30" spans="2:7" hidden="1">
      <c r="B30" t="s">
        <v>66</v>
      </c>
      <c r="C30" s="7" t="str">
        <f>INICIO!S30</f>
        <v/>
      </c>
      <c r="D30" t="s">
        <v>65</v>
      </c>
      <c r="F30">
        <f t="shared" si="0"/>
        <v>0</v>
      </c>
      <c r="G30" s="3" t="str">
        <f>IF(INICIO!J30,CONCATENATE("                ",B30,C30,D30),"")</f>
        <v/>
      </c>
    </row>
    <row r="31" spans="2:7" hidden="1">
      <c r="B31" t="s">
        <v>66</v>
      </c>
      <c r="C31" s="7" t="str">
        <f>INICIO!S31</f>
        <v/>
      </c>
      <c r="D31" t="s">
        <v>65</v>
      </c>
      <c r="F31">
        <f t="shared" si="0"/>
        <v>0</v>
      </c>
      <c r="G31" s="3" t="str">
        <f>IF(INICIO!J31,CONCATENATE("                ",B31,C31,D31),"")</f>
        <v/>
      </c>
    </row>
    <row r="32" spans="2:7" hidden="1">
      <c r="B32" t="s">
        <v>66</v>
      </c>
      <c r="C32" s="7" t="str">
        <f>INICIO!S32</f>
        <v/>
      </c>
      <c r="D32" t="s">
        <v>65</v>
      </c>
      <c r="F32">
        <f t="shared" si="0"/>
        <v>0</v>
      </c>
      <c r="G32" s="3" t="str">
        <f>IF(INICIO!J32,CONCATENATE("                ",B32,C32,D32),"")</f>
        <v/>
      </c>
    </row>
    <row r="33" spans="2:7" hidden="1">
      <c r="B33" t="s">
        <v>66</v>
      </c>
      <c r="C33" s="7" t="str">
        <f>INICIO!S33</f>
        <v/>
      </c>
      <c r="D33" t="s">
        <v>65</v>
      </c>
      <c r="F33">
        <f t="shared" si="0"/>
        <v>0</v>
      </c>
      <c r="G33" s="3" t="str">
        <f>IF(INICIO!J33,CONCATENATE("                ",B33,C33,D33),"")</f>
        <v/>
      </c>
    </row>
    <row r="34" spans="2:7" hidden="1">
      <c r="B34" t="s">
        <v>66</v>
      </c>
      <c r="C34" s="7" t="str">
        <f>INICIO!S34</f>
        <v/>
      </c>
      <c r="D34" t="s">
        <v>65</v>
      </c>
      <c r="F34">
        <f t="shared" si="0"/>
        <v>0</v>
      </c>
      <c r="G34" s="3" t="str">
        <f>IF(INICIO!J34,CONCATENATE("                ",B34,C34,D34),"")</f>
        <v/>
      </c>
    </row>
    <row r="35" spans="2:7" hidden="1">
      <c r="B35" t="s">
        <v>66</v>
      </c>
      <c r="C35" s="7" t="str">
        <f>INICIO!S35</f>
        <v/>
      </c>
      <c r="D35" t="s">
        <v>65</v>
      </c>
      <c r="F35">
        <f t="shared" si="0"/>
        <v>0</v>
      </c>
      <c r="G35" s="3" t="str">
        <f>IF(INICIO!J35,CONCATENATE("                ",B35,C35,D35),"")</f>
        <v/>
      </c>
    </row>
    <row r="36" spans="2:7" hidden="1">
      <c r="B36" t="s">
        <v>66</v>
      </c>
      <c r="C36" s="7" t="str">
        <f>INICIO!S36</f>
        <v/>
      </c>
      <c r="D36" t="s">
        <v>65</v>
      </c>
      <c r="F36">
        <f t="shared" si="0"/>
        <v>0</v>
      </c>
      <c r="G36" s="3" t="str">
        <f>IF(INICIO!J36,CONCATENATE("                ",B36,C36,D36),"")</f>
        <v/>
      </c>
    </row>
    <row r="37" spans="2:7" hidden="1">
      <c r="B37" t="s">
        <v>66</v>
      </c>
      <c r="C37" s="7" t="str">
        <f>INICIO!S37</f>
        <v/>
      </c>
      <c r="D37" t="s">
        <v>65</v>
      </c>
      <c r="F37">
        <f t="shared" si="0"/>
        <v>0</v>
      </c>
      <c r="G37" s="3" t="str">
        <f>IF(INICIO!J37,CONCATENATE("                ",B37,C37,D37),"")</f>
        <v/>
      </c>
    </row>
    <row r="38" spans="2:7" hidden="1">
      <c r="B38" t="s">
        <v>66</v>
      </c>
      <c r="C38" s="7" t="str">
        <f>INICIO!S38</f>
        <v/>
      </c>
      <c r="D38" t="s">
        <v>65</v>
      </c>
      <c r="F38">
        <f t="shared" si="0"/>
        <v>0</v>
      </c>
      <c r="G38" s="3" t="str">
        <f>IF(INICIO!J38,CONCATENATE("                ",B38,C38,D38),"")</f>
        <v/>
      </c>
    </row>
    <row r="39" spans="2:7" hidden="1">
      <c r="B39" t="s">
        <v>66</v>
      </c>
      <c r="C39" s="7" t="str">
        <f>INICIO!S39</f>
        <v/>
      </c>
      <c r="D39" t="s">
        <v>65</v>
      </c>
      <c r="F39">
        <f t="shared" si="0"/>
        <v>0</v>
      </c>
      <c r="G39" s="3" t="str">
        <f>IF(INICIO!J39,CONCATENATE("                ",B39,C39,D39),"")</f>
        <v/>
      </c>
    </row>
    <row r="40" spans="2:7" hidden="1">
      <c r="B40" t="s">
        <v>66</v>
      </c>
      <c r="C40" s="7" t="str">
        <f>INICIO!S40</f>
        <v/>
      </c>
      <c r="D40" t="s">
        <v>65</v>
      </c>
      <c r="F40">
        <f t="shared" si="0"/>
        <v>0</v>
      </c>
      <c r="G40" s="3" t="str">
        <f>IF(INICIO!J40,CONCATENATE("                ",B40,C40,D40),"")</f>
        <v/>
      </c>
    </row>
    <row r="41" spans="2:7" hidden="1">
      <c r="B41" t="s">
        <v>66</v>
      </c>
      <c r="C41" s="7" t="str">
        <f>INICIO!S41</f>
        <v/>
      </c>
      <c r="D41" t="s">
        <v>65</v>
      </c>
      <c r="F41">
        <f t="shared" si="0"/>
        <v>0</v>
      </c>
      <c r="G41" s="3" t="str">
        <f>IF(INICIO!J41,CONCATENATE("                ",B41,C41,D41),"")</f>
        <v/>
      </c>
    </row>
    <row r="42" spans="2:7" hidden="1">
      <c r="B42" t="s">
        <v>66</v>
      </c>
      <c r="C42" s="7" t="str">
        <f>INICIO!S42</f>
        <v/>
      </c>
      <c r="D42" t="s">
        <v>65</v>
      </c>
      <c r="F42">
        <f t="shared" si="0"/>
        <v>0</v>
      </c>
      <c r="G42" s="3" t="str">
        <f>IF(INICIO!J42,CONCATENATE("                ",B42,C42,D42),"")</f>
        <v/>
      </c>
    </row>
    <row r="43" spans="2:7" hidden="1">
      <c r="B43" t="s">
        <v>66</v>
      </c>
      <c r="C43" s="7" t="str">
        <f>INICIO!S43</f>
        <v/>
      </c>
      <c r="D43" t="s">
        <v>65</v>
      </c>
      <c r="F43">
        <f t="shared" si="0"/>
        <v>0</v>
      </c>
      <c r="G43" s="3" t="str">
        <f>IF(INICIO!J43,CONCATENATE("                ",B43,C43,D43),"")</f>
        <v/>
      </c>
    </row>
    <row r="44" spans="2:7" hidden="1">
      <c r="B44" t="s">
        <v>66</v>
      </c>
      <c r="C44" s="7" t="str">
        <f>INICIO!S44</f>
        <v/>
      </c>
      <c r="D44" t="s">
        <v>65</v>
      </c>
      <c r="F44">
        <f t="shared" si="0"/>
        <v>0</v>
      </c>
      <c r="G44" s="3" t="str">
        <f>IF(INICIO!J44,CONCATENATE("                ",B44,C44,D44),"")</f>
        <v/>
      </c>
    </row>
    <row r="45" spans="2:7" hidden="1">
      <c r="B45" t="s">
        <v>66</v>
      </c>
      <c r="C45" s="7" t="str">
        <f>INICIO!S45</f>
        <v/>
      </c>
      <c r="D45" t="s">
        <v>65</v>
      </c>
      <c r="F45">
        <f t="shared" si="0"/>
        <v>0</v>
      </c>
      <c r="G45" s="3" t="str">
        <f>IF(INICIO!J45,CONCATENATE("                ",B45,C45,D45),"")</f>
        <v/>
      </c>
    </row>
    <row r="46" spans="2:7" hidden="1">
      <c r="B46" t="s">
        <v>66</v>
      </c>
      <c r="C46" s="7" t="str">
        <f>INICIO!S46</f>
        <v/>
      </c>
      <c r="D46" t="s">
        <v>65</v>
      </c>
      <c r="F46">
        <f t="shared" si="0"/>
        <v>0</v>
      </c>
      <c r="G46" s="3" t="str">
        <f>IF(INICIO!J46,CONCATENATE("                ",B46,C46,D46),"")</f>
        <v/>
      </c>
    </row>
    <row r="47" spans="2:7" hidden="1">
      <c r="B47" t="s">
        <v>66</v>
      </c>
      <c r="C47" s="7" t="str">
        <f>INICIO!S47</f>
        <v/>
      </c>
      <c r="D47" t="s">
        <v>65</v>
      </c>
      <c r="F47">
        <f t="shared" si="0"/>
        <v>0</v>
      </c>
      <c r="G47" s="3" t="str">
        <f>IF(INICIO!J47,CONCATENATE("                ",B47,C47,D47),"")</f>
        <v/>
      </c>
    </row>
    <row r="48" spans="2:7" hidden="1">
      <c r="B48" t="s">
        <v>66</v>
      </c>
      <c r="C48" s="7" t="str">
        <f>INICIO!S48</f>
        <v/>
      </c>
      <c r="D48" t="s">
        <v>65</v>
      </c>
      <c r="F48">
        <f t="shared" si="0"/>
        <v>0</v>
      </c>
      <c r="G48" s="3" t="str">
        <f>IF(INICIO!J48,CONCATENATE("                ",B48,C48,D48),"")</f>
        <v/>
      </c>
    </row>
    <row r="49" spans="2:7" hidden="1">
      <c r="B49" t="s">
        <v>66</v>
      </c>
      <c r="C49" s="7" t="str">
        <f>INICIO!S49</f>
        <v/>
      </c>
      <c r="D49" t="s">
        <v>65</v>
      </c>
      <c r="F49">
        <f t="shared" si="0"/>
        <v>0</v>
      </c>
      <c r="G49" s="3" t="str">
        <f>IF(INICIO!J49,CONCATENATE("                ",B49,C49,D49),"")</f>
        <v/>
      </c>
    </row>
    <row r="50" spans="2:7" hidden="1">
      <c r="B50" t="s">
        <v>66</v>
      </c>
      <c r="C50" s="7" t="str">
        <f>INICIO!S50</f>
        <v/>
      </c>
      <c r="D50" t="s">
        <v>65</v>
      </c>
      <c r="F50">
        <f t="shared" si="0"/>
        <v>0</v>
      </c>
      <c r="G50" s="3" t="str">
        <f>IF(INICIO!J50,CONCATENATE("                ",B50,C50,D50),"")</f>
        <v/>
      </c>
    </row>
    <row r="51" spans="2:7" hidden="1">
      <c r="B51" t="s">
        <v>66</v>
      </c>
      <c r="C51" s="7" t="str">
        <f>INICIO!S51</f>
        <v/>
      </c>
      <c r="D51" t="s">
        <v>65</v>
      </c>
      <c r="F51">
        <f t="shared" si="0"/>
        <v>0</v>
      </c>
      <c r="G51" s="3" t="str">
        <f>IF(INICIO!J51,CONCATENATE("                ",B51,C51,D51),"")</f>
        <v/>
      </c>
    </row>
    <row r="52" spans="2:7" hidden="1">
      <c r="B52" t="s">
        <v>66</v>
      </c>
      <c r="C52" s="7" t="str">
        <f>INICIO!S52</f>
        <v/>
      </c>
      <c r="D52" t="s">
        <v>65</v>
      </c>
      <c r="F52">
        <f t="shared" si="0"/>
        <v>0</v>
      </c>
      <c r="G52" s="3" t="str">
        <f>IF(INICIO!J52,CONCATENATE("                ",B52,C52,D52),"")</f>
        <v/>
      </c>
    </row>
    <row r="53" spans="2:7" hidden="1">
      <c r="B53" t="s">
        <v>66</v>
      </c>
      <c r="C53" s="7" t="str">
        <f>INICIO!S53</f>
        <v/>
      </c>
      <c r="D53" t="s">
        <v>65</v>
      </c>
      <c r="F53">
        <f t="shared" si="0"/>
        <v>0</v>
      </c>
      <c r="G53" s="3" t="str">
        <f>IF(INICIO!J53,CONCATENATE("                ",B53,C53,D53),"")</f>
        <v/>
      </c>
    </row>
    <row r="54" spans="2:7" hidden="1">
      <c r="B54" t="s">
        <v>66</v>
      </c>
      <c r="C54" s="7" t="str">
        <f>INICIO!S54</f>
        <v/>
      </c>
      <c r="D54" t="s">
        <v>65</v>
      </c>
      <c r="F54">
        <f t="shared" si="0"/>
        <v>0</v>
      </c>
      <c r="G54" s="3" t="str">
        <f>IF(INICIO!J54,CONCATENATE("                ",B54,C54,D54),"")</f>
        <v/>
      </c>
    </row>
    <row r="55" spans="2:7" hidden="1">
      <c r="B55" t="s">
        <v>66</v>
      </c>
      <c r="C55" s="7" t="str">
        <f>INICIO!S55</f>
        <v/>
      </c>
      <c r="D55" t="s">
        <v>65</v>
      </c>
      <c r="F55">
        <f t="shared" si="0"/>
        <v>0</v>
      </c>
      <c r="G55" s="3" t="str">
        <f>IF(INICIO!J55,CONCATENATE("                ",B55,C55,D55),"")</f>
        <v/>
      </c>
    </row>
    <row r="56" spans="2:7" hidden="1">
      <c r="B56" t="s">
        <v>66</v>
      </c>
      <c r="C56" s="7" t="str">
        <f>INICIO!S56</f>
        <v/>
      </c>
      <c r="D56" t="s">
        <v>65</v>
      </c>
      <c r="F56">
        <f t="shared" si="0"/>
        <v>0</v>
      </c>
      <c r="G56" s="3" t="str">
        <f>IF(INICIO!J56,CONCATENATE("                ",B56,C56,D56),"")</f>
        <v/>
      </c>
    </row>
    <row r="57" spans="2:7" hidden="1">
      <c r="B57" t="s">
        <v>66</v>
      </c>
      <c r="C57" s="7" t="str">
        <f>INICIO!S57</f>
        <v/>
      </c>
      <c r="D57" t="s">
        <v>65</v>
      </c>
      <c r="F57">
        <f t="shared" si="0"/>
        <v>0</v>
      </c>
      <c r="G57" s="3" t="str">
        <f>IF(INICIO!J57,CONCATENATE("                ",B57,C57,D57),"")</f>
        <v/>
      </c>
    </row>
    <row r="58" spans="2:7" hidden="1">
      <c r="B58" t="s">
        <v>66</v>
      </c>
      <c r="C58" s="7" t="str">
        <f>INICIO!S58</f>
        <v/>
      </c>
      <c r="D58" t="s">
        <v>65</v>
      </c>
      <c r="F58">
        <f t="shared" si="0"/>
        <v>0</v>
      </c>
      <c r="G58" s="3" t="str">
        <f>IF(INICIO!J58,CONCATENATE("                ",B58,C58,D58),"")</f>
        <v/>
      </c>
    </row>
    <row r="59" spans="2:7" hidden="1">
      <c r="B59" t="s">
        <v>66</v>
      </c>
      <c r="C59" s="7" t="str">
        <f>INICIO!S59</f>
        <v/>
      </c>
      <c r="D59" t="s">
        <v>65</v>
      </c>
      <c r="F59">
        <f t="shared" si="0"/>
        <v>0</v>
      </c>
      <c r="G59" s="3" t="str">
        <f>IF(INICIO!J59,CONCATENATE("                ",B59,C59,D59),"")</f>
        <v/>
      </c>
    </row>
    <row r="60" spans="2:7" hidden="1">
      <c r="B60" t="s">
        <v>66</v>
      </c>
      <c r="C60" s="7" t="str">
        <f>INICIO!S60</f>
        <v/>
      </c>
      <c r="D60" t="s">
        <v>65</v>
      </c>
      <c r="F60">
        <f t="shared" si="0"/>
        <v>0</v>
      </c>
      <c r="G60" s="3" t="str">
        <f>IF(INICIO!J60,CONCATENATE("                ",B60,C60,D60),"")</f>
        <v/>
      </c>
    </row>
    <row r="61" spans="2:7" hidden="1">
      <c r="B61" t="s">
        <v>66</v>
      </c>
      <c r="C61" s="7" t="str">
        <f>INICIO!S61</f>
        <v/>
      </c>
      <c r="D61" t="s">
        <v>65</v>
      </c>
      <c r="F61">
        <f t="shared" si="0"/>
        <v>0</v>
      </c>
      <c r="G61" s="3" t="str">
        <f>IF(INICIO!J61,CONCATENATE("                ",B61,C61,D61),"")</f>
        <v/>
      </c>
    </row>
    <row r="62" spans="2:7" hidden="1">
      <c r="B62" t="s">
        <v>66</v>
      </c>
      <c r="C62" s="7" t="str">
        <f>INICIO!S62</f>
        <v/>
      </c>
      <c r="D62" t="s">
        <v>65</v>
      </c>
      <c r="F62">
        <f t="shared" si="0"/>
        <v>0</v>
      </c>
      <c r="G62" s="3" t="str">
        <f>IF(INICIO!J62,CONCATENATE("                ",B62,C62,D62),"")</f>
        <v/>
      </c>
    </row>
    <row r="63" spans="2:7" hidden="1">
      <c r="B63" t="s">
        <v>66</v>
      </c>
      <c r="C63" s="7" t="str">
        <f>INICIO!S63</f>
        <v/>
      </c>
      <c r="D63" t="s">
        <v>65</v>
      </c>
      <c r="F63">
        <f t="shared" si="0"/>
        <v>0</v>
      </c>
      <c r="G63" s="3" t="str">
        <f>IF(INICIO!J63,CONCATENATE("                ",B63,C63,D63),"")</f>
        <v/>
      </c>
    </row>
    <row r="64" spans="2:7" hidden="1">
      <c r="B64" t="s">
        <v>66</v>
      </c>
      <c r="C64" s="7" t="str">
        <f>INICIO!S64</f>
        <v/>
      </c>
      <c r="D64" t="s">
        <v>65</v>
      </c>
      <c r="F64">
        <f t="shared" si="0"/>
        <v>0</v>
      </c>
      <c r="G64" s="3" t="str">
        <f>IF(INICIO!J64,CONCATENATE("                ",B64,C64,D64),"")</f>
        <v/>
      </c>
    </row>
    <row r="65" spans="2:7" hidden="1">
      <c r="B65" t="s">
        <v>66</v>
      </c>
      <c r="C65" s="7" t="str">
        <f>INICIO!S65</f>
        <v/>
      </c>
      <c r="D65" t="s">
        <v>65</v>
      </c>
      <c r="F65">
        <f t="shared" si="0"/>
        <v>0</v>
      </c>
      <c r="G65" s="3" t="str">
        <f>IF(INICIO!J65,CONCATENATE("                ",B65,C65,D65),"")</f>
        <v/>
      </c>
    </row>
    <row r="66" spans="2:7" hidden="1">
      <c r="B66" t="s">
        <v>66</v>
      </c>
      <c r="C66" s="7" t="str">
        <f>INICIO!S66</f>
        <v/>
      </c>
      <c r="D66" t="s">
        <v>65</v>
      </c>
      <c r="F66">
        <f t="shared" si="0"/>
        <v>0</v>
      </c>
      <c r="G66" s="3" t="str">
        <f>IF(INICIO!J66,CONCATENATE("                ",B66,C66,D66),"")</f>
        <v/>
      </c>
    </row>
    <row r="67" spans="2:7" hidden="1">
      <c r="B67" t="s">
        <v>66</v>
      </c>
      <c r="C67" s="7" t="str">
        <f>INICIO!S67</f>
        <v/>
      </c>
      <c r="D67" t="s">
        <v>65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>
      <c r="B68" t="s">
        <v>66</v>
      </c>
      <c r="C68" s="7" t="str">
        <f>INICIO!S68</f>
        <v/>
      </c>
      <c r="D68" t="s">
        <v>65</v>
      </c>
      <c r="F68">
        <f t="shared" si="1"/>
        <v>0</v>
      </c>
      <c r="G68" s="3" t="str">
        <f>IF(INICIO!J68,CONCATENATE("                ",B68,C68,D68),"")</f>
        <v/>
      </c>
    </row>
    <row r="69" spans="2:7" hidden="1">
      <c r="B69" t="s">
        <v>66</v>
      </c>
      <c r="C69" s="7" t="str">
        <f>INICIO!S69</f>
        <v/>
      </c>
      <c r="D69" t="s">
        <v>65</v>
      </c>
      <c r="F69">
        <f t="shared" si="1"/>
        <v>0</v>
      </c>
      <c r="G69" s="3" t="str">
        <f>IF(INICIO!J69,CONCATENATE("                ",B69,C69,D69),"")</f>
        <v/>
      </c>
    </row>
    <row r="70" spans="2:7" hidden="1">
      <c r="B70" t="s">
        <v>66</v>
      </c>
      <c r="C70" s="7" t="str">
        <f>INICIO!S70</f>
        <v/>
      </c>
      <c r="D70" t="s">
        <v>65</v>
      </c>
      <c r="F70">
        <f t="shared" si="1"/>
        <v>0</v>
      </c>
      <c r="G70" s="3" t="str">
        <f>IF(INICIO!J70,CONCATENATE("                ",B70,C70,D70),"")</f>
        <v/>
      </c>
    </row>
    <row r="71" spans="2:7" hidden="1">
      <c r="B71" t="s">
        <v>66</v>
      </c>
      <c r="C71" s="7" t="str">
        <f>INICIO!S71</f>
        <v/>
      </c>
      <c r="D71" t="s">
        <v>65</v>
      </c>
      <c r="F71">
        <f t="shared" si="1"/>
        <v>0</v>
      </c>
      <c r="G71" s="3" t="str">
        <f>IF(INICIO!J71,CONCATENATE("                ",B71,C71,D71),"")</f>
        <v/>
      </c>
    </row>
    <row r="72" spans="2:7" hidden="1">
      <c r="B72" t="s">
        <v>66</v>
      </c>
      <c r="C72" s="7" t="str">
        <f>INICIO!S72</f>
        <v/>
      </c>
      <c r="D72" t="s">
        <v>65</v>
      </c>
      <c r="F72">
        <f t="shared" si="1"/>
        <v>0</v>
      </c>
      <c r="G72" s="3" t="str">
        <f>IF(INICIO!J72,CONCATENATE("                ",B72,C72,D72),"")</f>
        <v/>
      </c>
    </row>
    <row r="73" spans="2:7" hidden="1">
      <c r="B73" t="s">
        <v>66</v>
      </c>
      <c r="C73" s="7" t="str">
        <f>INICIO!S73</f>
        <v/>
      </c>
      <c r="D73" t="s">
        <v>65</v>
      </c>
      <c r="F73">
        <f t="shared" si="1"/>
        <v>0</v>
      </c>
      <c r="G73" s="3" t="str">
        <f>IF(INICIO!J73,CONCATENATE("                ",B73,C73,D73),"")</f>
        <v/>
      </c>
    </row>
    <row r="74" spans="2:7" hidden="1">
      <c r="B74" t="s">
        <v>66</v>
      </c>
      <c r="C74" s="7" t="str">
        <f>INICIO!S74</f>
        <v/>
      </c>
      <c r="D74" t="s">
        <v>65</v>
      </c>
      <c r="F74">
        <f t="shared" si="1"/>
        <v>0</v>
      </c>
      <c r="G74" s="3" t="str">
        <f>IF(INICIO!J74,CONCATENATE("                ",B74,C74,D74),"")</f>
        <v/>
      </c>
    </row>
    <row r="75" spans="2:7" hidden="1">
      <c r="B75" t="s">
        <v>66</v>
      </c>
      <c r="C75" s="7" t="str">
        <f>INICIO!S75</f>
        <v/>
      </c>
      <c r="D75" t="s">
        <v>65</v>
      </c>
      <c r="F75">
        <f t="shared" si="1"/>
        <v>0</v>
      </c>
      <c r="G75" s="3" t="str">
        <f>IF(INICIO!J75,CONCATENATE("                ",B75,C75,D75),"")</f>
        <v/>
      </c>
    </row>
    <row r="76" spans="2:7" hidden="1">
      <c r="B76" t="s">
        <v>66</v>
      </c>
      <c r="C76" s="7" t="str">
        <f>INICIO!S76</f>
        <v/>
      </c>
      <c r="D76" t="s">
        <v>65</v>
      </c>
      <c r="F76">
        <f t="shared" si="1"/>
        <v>0</v>
      </c>
      <c r="G76" s="3" t="str">
        <f>IF(INICIO!J76,CONCATENATE("                ",B76,C76,D76),"")</f>
        <v/>
      </c>
    </row>
    <row r="77" spans="2:7" hidden="1">
      <c r="B77" t="s">
        <v>66</v>
      </c>
      <c r="C77" s="7" t="str">
        <f>INICIO!S77</f>
        <v/>
      </c>
      <c r="D77" t="s">
        <v>65</v>
      </c>
      <c r="F77">
        <f t="shared" si="1"/>
        <v>0</v>
      </c>
      <c r="G77" s="3" t="str">
        <f>IF(INICIO!J77,CONCATENATE("                ",B77,C77,D77),"")</f>
        <v/>
      </c>
    </row>
    <row r="78" spans="2:7" hidden="1">
      <c r="B78" t="s">
        <v>66</v>
      </c>
      <c r="C78" s="7" t="str">
        <f>INICIO!S78</f>
        <v/>
      </c>
      <c r="D78" t="s">
        <v>65</v>
      </c>
      <c r="F78">
        <f t="shared" si="1"/>
        <v>0</v>
      </c>
      <c r="G78" s="3" t="str">
        <f>IF(INICIO!J78,CONCATENATE("                ",B78,C78,D78),"")</f>
        <v/>
      </c>
    </row>
    <row r="79" spans="2:7" hidden="1">
      <c r="B79" t="s">
        <v>66</v>
      </c>
      <c r="C79" s="7" t="str">
        <f>INICIO!S79</f>
        <v/>
      </c>
      <c r="D79" t="s">
        <v>65</v>
      </c>
      <c r="F79">
        <f t="shared" si="1"/>
        <v>0</v>
      </c>
      <c r="G79" s="3" t="str">
        <f>IF(INICIO!J79,CONCATENATE("                ",B79,C79,D79),"")</f>
        <v/>
      </c>
    </row>
    <row r="80" spans="2:7" hidden="1">
      <c r="B80" t="s">
        <v>66</v>
      </c>
      <c r="C80" s="7" t="str">
        <f>INICIO!S80</f>
        <v/>
      </c>
      <c r="D80" t="s">
        <v>65</v>
      </c>
      <c r="F80">
        <f t="shared" si="1"/>
        <v>0</v>
      </c>
      <c r="G80" s="3" t="str">
        <f>IF(INICIO!J80,CONCATENATE("                ",B80,C80,D80),"")</f>
        <v/>
      </c>
    </row>
    <row r="81" spans="2:7" hidden="1">
      <c r="B81" t="s">
        <v>66</v>
      </c>
      <c r="C81" s="7" t="str">
        <f>INICIO!S81</f>
        <v/>
      </c>
      <c r="D81" t="s">
        <v>65</v>
      </c>
      <c r="F81">
        <f t="shared" si="1"/>
        <v>0</v>
      </c>
      <c r="G81" s="3" t="str">
        <f>IF(INICIO!J81,CONCATENATE("                ",B81,C81,D81),"")</f>
        <v/>
      </c>
    </row>
    <row r="82" spans="2:7" hidden="1">
      <c r="B82" t="s">
        <v>66</v>
      </c>
      <c r="C82" s="7" t="str">
        <f>INICIO!S82</f>
        <v/>
      </c>
      <c r="D82" t="s">
        <v>65</v>
      </c>
      <c r="F82">
        <f t="shared" si="1"/>
        <v>0</v>
      </c>
      <c r="G82" s="3" t="str">
        <f>IF(INICIO!J82,CONCATENATE("                ",B82,C82,D82),"")</f>
        <v/>
      </c>
    </row>
    <row r="83" spans="2:7" hidden="1">
      <c r="B83" t="s">
        <v>66</v>
      </c>
      <c r="C83" s="7" t="str">
        <f>INICIO!S83</f>
        <v/>
      </c>
      <c r="D83" t="s">
        <v>65</v>
      </c>
      <c r="F83">
        <f t="shared" si="1"/>
        <v>0</v>
      </c>
      <c r="G83" s="3" t="str">
        <f>IF(INICIO!J83,CONCATENATE("                ",B83,C83,D83),"")</f>
        <v/>
      </c>
    </row>
    <row r="84" spans="2:7" hidden="1">
      <c r="B84" t="s">
        <v>66</v>
      </c>
      <c r="C84" s="7" t="str">
        <f>INICIO!S84</f>
        <v/>
      </c>
      <c r="D84" t="s">
        <v>65</v>
      </c>
      <c r="F84">
        <f t="shared" si="1"/>
        <v>0</v>
      </c>
      <c r="G84" s="3" t="str">
        <f>IF(INICIO!J84,CONCATENATE("                ",B84,C84,D84),"")</f>
        <v/>
      </c>
    </row>
    <row r="85" spans="2:7" hidden="1">
      <c r="B85" t="s">
        <v>66</v>
      </c>
      <c r="C85" s="7" t="str">
        <f>INICIO!S85</f>
        <v/>
      </c>
      <c r="D85" t="s">
        <v>65</v>
      </c>
      <c r="F85">
        <f t="shared" si="1"/>
        <v>0</v>
      </c>
      <c r="G85" s="3" t="str">
        <f>IF(INICIO!J85,CONCATENATE("                ",B85,C85,D85),"")</f>
        <v/>
      </c>
    </row>
    <row r="86" spans="2:7" hidden="1">
      <c r="B86" t="s">
        <v>66</v>
      </c>
      <c r="C86" s="7" t="str">
        <f>INICIO!S86</f>
        <v/>
      </c>
      <c r="D86" t="s">
        <v>65</v>
      </c>
      <c r="F86">
        <f t="shared" si="1"/>
        <v>0</v>
      </c>
      <c r="G86" s="3" t="str">
        <f>IF(INICIO!J86,CONCATENATE("                ",B86,C86,D86),"")</f>
        <v/>
      </c>
    </row>
    <row r="87" spans="2:7" hidden="1">
      <c r="B87" t="s">
        <v>66</v>
      </c>
      <c r="C87" s="7" t="str">
        <f>INICIO!S87</f>
        <v/>
      </c>
      <c r="D87" t="s">
        <v>65</v>
      </c>
      <c r="F87">
        <f t="shared" si="1"/>
        <v>0</v>
      </c>
      <c r="G87" s="3" t="str">
        <f>IF(INICIO!J87,CONCATENATE("                ",B87,C87,D87),"")</f>
        <v/>
      </c>
    </row>
    <row r="88" spans="2:7" hidden="1">
      <c r="B88" t="s">
        <v>66</v>
      </c>
      <c r="C88" s="7" t="str">
        <f>INICIO!S88</f>
        <v/>
      </c>
      <c r="D88" t="s">
        <v>65</v>
      </c>
      <c r="F88">
        <f t="shared" si="1"/>
        <v>0</v>
      </c>
      <c r="G88" s="3" t="str">
        <f>IF(INICIO!J88,CONCATENATE("                ",B88,C88,D88),"")</f>
        <v/>
      </c>
    </row>
    <row r="89" spans="2:7" hidden="1">
      <c r="B89" t="s">
        <v>66</v>
      </c>
      <c r="C89" s="7" t="str">
        <f>INICIO!S89</f>
        <v/>
      </c>
      <c r="D89" t="s">
        <v>65</v>
      </c>
      <c r="F89">
        <f t="shared" si="1"/>
        <v>0</v>
      </c>
      <c r="G89" s="3" t="str">
        <f>IF(INICIO!J89,CONCATENATE("                ",B89,C89,D89),"")</f>
        <v/>
      </c>
    </row>
    <row r="90" spans="2:7" hidden="1">
      <c r="B90" t="s">
        <v>66</v>
      </c>
      <c r="C90" s="7" t="str">
        <f>INICIO!S90</f>
        <v/>
      </c>
      <c r="D90" t="s">
        <v>65</v>
      </c>
      <c r="F90">
        <f t="shared" si="1"/>
        <v>0</v>
      </c>
      <c r="G90" s="3" t="str">
        <f>IF(INICIO!J90,CONCATENATE("                ",B90,C90,D90),"")</f>
        <v/>
      </c>
    </row>
    <row r="91" spans="2:7" hidden="1">
      <c r="B91" t="s">
        <v>66</v>
      </c>
      <c r="C91" s="7" t="str">
        <f>INICIO!S91</f>
        <v/>
      </c>
      <c r="D91" t="s">
        <v>65</v>
      </c>
      <c r="F91">
        <f t="shared" si="1"/>
        <v>0</v>
      </c>
      <c r="G91" s="3" t="str">
        <f>IF(INICIO!J91,CONCATENATE("                ",B91,C91,D91),"")</f>
        <v/>
      </c>
    </row>
    <row r="92" spans="2:7" hidden="1">
      <c r="B92" t="s">
        <v>66</v>
      </c>
      <c r="C92" s="7" t="str">
        <f>INICIO!S92</f>
        <v/>
      </c>
      <c r="D92" t="s">
        <v>65</v>
      </c>
      <c r="F92">
        <f t="shared" si="1"/>
        <v>0</v>
      </c>
      <c r="G92" s="3" t="str">
        <f>IF(INICIO!J92,CONCATENATE("                ",B92,C92,D92),"")</f>
        <v/>
      </c>
    </row>
    <row r="93" spans="2:7" hidden="1">
      <c r="B93" t="s">
        <v>66</v>
      </c>
      <c r="C93" s="7" t="str">
        <f>INICIO!S93</f>
        <v/>
      </c>
      <c r="D93" t="s">
        <v>65</v>
      </c>
      <c r="F93">
        <f t="shared" si="1"/>
        <v>0</v>
      </c>
      <c r="G93" s="3" t="str">
        <f>IF(INICIO!J93,CONCATENATE("                ",B93,C93,D93),"")</f>
        <v/>
      </c>
    </row>
    <row r="94" spans="2:7" hidden="1">
      <c r="B94" t="s">
        <v>66</v>
      </c>
      <c r="C94" s="7" t="str">
        <f>INICIO!S94</f>
        <v/>
      </c>
      <c r="D94" t="s">
        <v>65</v>
      </c>
      <c r="F94">
        <f t="shared" si="1"/>
        <v>0</v>
      </c>
      <c r="G94" s="3" t="str">
        <f>IF(INICIO!J94,CONCATENATE("                ",B94,C94,D94),"")</f>
        <v/>
      </c>
    </row>
    <row r="95" spans="2:7" hidden="1">
      <c r="B95" t="s">
        <v>66</v>
      </c>
      <c r="C95" s="7" t="str">
        <f>INICIO!S95</f>
        <v/>
      </c>
      <c r="D95" t="s">
        <v>65</v>
      </c>
      <c r="F95">
        <f t="shared" si="1"/>
        <v>0</v>
      </c>
      <c r="G95" s="3" t="str">
        <f>IF(INICIO!J95,CONCATENATE("                ",B95,C95,D95),"")</f>
        <v/>
      </c>
    </row>
    <row r="96" spans="2:7" hidden="1">
      <c r="B96" t="s">
        <v>66</v>
      </c>
      <c r="C96" s="7" t="str">
        <f>INICIO!S96</f>
        <v/>
      </c>
      <c r="D96" t="s">
        <v>65</v>
      </c>
      <c r="F96">
        <f t="shared" si="1"/>
        <v>0</v>
      </c>
      <c r="G96" s="3" t="str">
        <f>IF(INICIO!J96,CONCATENATE("                ",B96,C96,D96),"")</f>
        <v/>
      </c>
    </row>
    <row r="97" spans="2:7" hidden="1">
      <c r="B97" t="s">
        <v>66</v>
      </c>
      <c r="C97" s="7" t="str">
        <f>INICIO!S97</f>
        <v/>
      </c>
      <c r="D97" t="s">
        <v>65</v>
      </c>
      <c r="F97">
        <f t="shared" si="1"/>
        <v>0</v>
      </c>
      <c r="G97" s="3" t="str">
        <f>IF(INICIO!J97,CONCATENATE("                ",B97,C97,D97),"")</f>
        <v/>
      </c>
    </row>
    <row r="98" spans="2:7" hidden="1">
      <c r="B98" t="s">
        <v>66</v>
      </c>
      <c r="C98" s="7" t="str">
        <f>INICIO!S98</f>
        <v/>
      </c>
      <c r="D98" t="s">
        <v>65</v>
      </c>
      <c r="F98">
        <f t="shared" si="1"/>
        <v>0</v>
      </c>
      <c r="G98" s="3" t="str">
        <f>IF(INICIO!J98,CONCATENATE("                ",B98,C98,D98),"")</f>
        <v/>
      </c>
    </row>
    <row r="99" spans="2:7" hidden="1">
      <c r="B99" t="s">
        <v>66</v>
      </c>
      <c r="C99" s="7" t="str">
        <f>INICIO!S99</f>
        <v/>
      </c>
      <c r="D99" t="s">
        <v>65</v>
      </c>
      <c r="F99">
        <f t="shared" si="1"/>
        <v>0</v>
      </c>
      <c r="G99" s="3" t="str">
        <f>IF(INICIO!J99,CONCATENATE("                ",B99,C99,D99),"")</f>
        <v/>
      </c>
    </row>
    <row r="100" spans="2:7" hidden="1">
      <c r="B100" t="s">
        <v>66</v>
      </c>
      <c r="C100" s="7" t="str">
        <f>INICIO!S100</f>
        <v/>
      </c>
      <c r="D100" t="s">
        <v>65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>
      <c r="B101" t="s">
        <v>66</v>
      </c>
      <c r="C101" s="7" t="str">
        <f>INICIO!S101</f>
        <v/>
      </c>
      <c r="D101" t="s">
        <v>65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>
      <c r="B102" t="s">
        <v>66</v>
      </c>
      <c r="C102" s="7" t="str">
        <f>INICIO!S102</f>
        <v/>
      </c>
      <c r="D102" t="s">
        <v>65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>
      <c r="B103" t="s">
        <v>66</v>
      </c>
      <c r="C103" s="7" t="str">
        <f>INICIO!S103</f>
        <v/>
      </c>
      <c r="D103" t="s">
        <v>65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>
      <c r="B104" t="s">
        <v>66</v>
      </c>
      <c r="C104" s="7" t="str">
        <f>INICIO!S104</f>
        <v/>
      </c>
      <c r="D104" t="s">
        <v>65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>
      <c r="B105" t="s">
        <v>66</v>
      </c>
      <c r="C105" s="7" t="str">
        <f>INICIO!S105</f>
        <v/>
      </c>
      <c r="D105" t="s">
        <v>65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>
      <c r="B106" t="s">
        <v>66</v>
      </c>
      <c r="C106" s="7" t="str">
        <f>INICIO!S106</f>
        <v/>
      </c>
      <c r="D106" t="s">
        <v>65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>
      <c r="B107" t="s">
        <v>66</v>
      </c>
      <c r="C107" s="7" t="str">
        <f>INICIO!S107</f>
        <v/>
      </c>
      <c r="D107" t="s">
        <v>65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>
      <c r="B108" t="s">
        <v>66</v>
      </c>
      <c r="C108" s="7" t="str">
        <f>INICIO!S108</f>
        <v/>
      </c>
      <c r="D108" t="s">
        <v>65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>
      <c r="B109" t="s">
        <v>66</v>
      </c>
      <c r="C109" s="7" t="str">
        <f>INICIO!S109</f>
        <v/>
      </c>
      <c r="D109" t="s">
        <v>65</v>
      </c>
      <c r="F109">
        <f t="shared" si="1"/>
        <v>0</v>
      </c>
      <c r="G109" s="3" t="str">
        <f>IF(INICIO!J109,CONCATENATE("                ",B109,C109,D109),"")</f>
        <v/>
      </c>
    </row>
    <row r="110" spans="2:7">
      <c r="B110" t="s">
        <v>67</v>
      </c>
      <c r="C110" s="20" t="str">
        <f>INICIO!K10</f>
        <v>Dis_Id</v>
      </c>
      <c r="D110" t="s">
        <v>68</v>
      </c>
      <c r="F110">
        <f t="shared" si="1"/>
        <v>1</v>
      </c>
      <c r="G110" s="3" t="str">
        <f>CONCATENATE("                ",B110,C110,D110)</f>
        <v xml:space="preserve">                 + "PRIMARY KEY (`Dis_Id`));";</v>
      </c>
    </row>
    <row r="111" spans="2:7">
      <c r="F111">
        <f t="shared" si="1"/>
        <v>1</v>
      </c>
      <c r="G111" s="3" t="s">
        <v>148</v>
      </c>
    </row>
    <row r="112" spans="2:7">
      <c r="F112">
        <f t="shared" si="1"/>
        <v>1</v>
      </c>
      <c r="G112" s="3" t="s">
        <v>12</v>
      </c>
    </row>
    <row r="113" spans="6:7">
      <c r="F113">
        <f t="shared" si="1"/>
        <v>1</v>
      </c>
      <c r="G113" s="3" t="s">
        <v>71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 filterMode="1">
    <tabColor rgb="FFFFFF00"/>
  </sheetPr>
  <dimension ref="A1:L133"/>
  <sheetViews>
    <sheetView showGridLines="0" topLeftCell="I4" workbookViewId="0">
      <selection activeCell="K5" sqref="K5:L133"/>
    </sheetView>
  </sheetViews>
  <sheetFormatPr defaultRowHeight="1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10" width="9.42578125" style="4" customWidth="1"/>
    <col min="11" max="11" width="9.42578125" style="4" hidden="1" customWidth="1"/>
    <col min="12" max="12" width="93.5703125" style="4" customWidth="1"/>
  </cols>
  <sheetData>
    <row r="1" spans="1:12" hidden="1">
      <c r="A1" t="s">
        <v>16</v>
      </c>
      <c r="B1" s="6">
        <f>100-(COUNTBLANK(E14:E112))</f>
        <v>5</v>
      </c>
    </row>
    <row r="2" spans="1:12" hidden="1">
      <c r="B2" t="s">
        <v>19</v>
      </c>
    </row>
    <row r="3" spans="1:12" hidden="1">
      <c r="B3" s="1" t="s">
        <v>20</v>
      </c>
    </row>
    <row r="4" spans="1:12">
      <c r="B4" s="1" t="s">
        <v>21</v>
      </c>
      <c r="K4" s="2" t="s">
        <v>118</v>
      </c>
      <c r="L4" s="2" t="s">
        <v>117</v>
      </c>
    </row>
    <row r="5" spans="1:12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`Dis_DataDefinida` , `Dis_DataGravacao` , `Dis_Total` , `Dis_Operador` </v>
      </c>
      <c r="K5" s="38">
        <f t="shared" ref="K5:K6" si="0">IF(L5&lt;&gt;"",1,0)</f>
        <v>1</v>
      </c>
      <c r="L5" s="3" t="s">
        <v>157</v>
      </c>
    </row>
    <row r="6" spans="1:12">
      <c r="B6" t="s">
        <v>23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>
      <c r="D7" s="1" t="s">
        <v>138</v>
      </c>
      <c r="E7" t="str">
        <f>INICIO!D5</f>
        <v>Distribuicao</v>
      </c>
      <c r="F7" s="7" t="str">
        <f>CONCATENATE(" _",LOWER(INICIO!D3))</f>
        <v xml:space="preserve"> _distribuicao</v>
      </c>
      <c r="G7" t="s">
        <v>132</v>
      </c>
      <c r="K7" s="38">
        <f>IF(L7&lt;&gt;"",1,0)</f>
        <v>1</v>
      </c>
      <c r="L7" s="3" t="str">
        <f>IF(ISBLANK(INICIO!B4),"",CONCATENATE(D7,E7,F7,G7,H7))</f>
        <v xml:space="preserve">        public bool _Adicionar(Distribuicao _distribuicao, string stringConnect)</v>
      </c>
    </row>
    <row r="8" spans="1:12">
      <c r="D8" s="1" t="s">
        <v>70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@Dis_DataDefinida, @Dis_DataGravacao, @Dis_Total, @Dis_Operador</v>
      </c>
      <c r="K9" s="38">
        <f>IF(L9&lt;&gt;"",1,0)</f>
        <v>1</v>
      </c>
      <c r="L9" s="3" t="s">
        <v>80</v>
      </c>
    </row>
    <row r="10" spans="1:12">
      <c r="B10" t="s">
        <v>22</v>
      </c>
      <c r="K10" s="38">
        <f t="shared" si="1"/>
        <v>1</v>
      </c>
      <c r="L10" s="3" t="s">
        <v>11</v>
      </c>
    </row>
    <row r="11" spans="1:12">
      <c r="D11" s="4"/>
      <c r="E11" s="4"/>
      <c r="F11" s="4"/>
      <c r="G11" s="4"/>
      <c r="K11" s="38">
        <f t="shared" si="1"/>
        <v>1</v>
      </c>
      <c r="L11" s="3" t="s">
        <v>85</v>
      </c>
    </row>
    <row r="12" spans="1:12">
      <c r="K12" s="38">
        <f t="shared" si="1"/>
        <v>1</v>
      </c>
      <c r="L12" s="3" t="str">
        <f>CONCATENATE("                ",B2,B3,B4,B5,B6,B9,B10)</f>
        <v xml:space="preserve">                var sql = new MySqlCommand("INSERT INTO `cadastro` (`Dis_DataDefinida` , `Dis_DataGravacao` , `Dis_Total` , `Dis_Operador` ) VALUES (@Dis_DataDefinida, @Dis_DataGravacao, @Dis_Total, @Dis_Operador);", conexao);</v>
      </c>
    </row>
    <row r="13" spans="1:12">
      <c r="F13" s="5" t="s">
        <v>139</v>
      </c>
      <c r="K13" s="38">
        <f t="shared" si="1"/>
        <v>1</v>
      </c>
      <c r="L13" s="3" t="s">
        <v>140</v>
      </c>
    </row>
    <row r="14" spans="1:12">
      <c r="A14" s="5" t="str">
        <f>IF(E14 &lt;&gt; "",CONCATENATE("`",E14,"` "),"")</f>
        <v xml:space="preserve">`Dis_DataDefinida` </v>
      </c>
      <c r="B14" s="5" t="str">
        <f>IF(E14 &lt;&gt; "",CONCATENATE("@",E14),"")</f>
        <v>@Dis_DataDefinida</v>
      </c>
      <c r="D14" s="3" t="s">
        <v>0</v>
      </c>
      <c r="E14" s="5" t="str">
        <f>INICIO!K11</f>
        <v>Dis_DataDefinida</v>
      </c>
      <c r="F14" s="3" t="str">
        <f>CONCATENATE(F$13,F$7,".")</f>
        <v>" , _distribuicao.</v>
      </c>
      <c r="G14" s="3" t="str">
        <f>LOWER(E14)</f>
        <v>dis_datadefinida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sql.Parameters.AddWithValue("@Dis_DataDefinida" , _distribuicao.dis_datadefinida);</v>
      </c>
    </row>
    <row r="15" spans="1:12">
      <c r="A15" t="str">
        <f t="shared" ref="A15:A32" si="2">IF(E15 &lt;&gt; "",CONCATENATE(", `",E15,"` "),"")</f>
        <v xml:space="preserve">, `Dis_DataGravacao` </v>
      </c>
      <c r="B15" t="str">
        <f>IF(E15 &lt;&gt; "",CONCATENATE(", @",E15),"")</f>
        <v>, @Dis_DataGravacao</v>
      </c>
      <c r="D15" s="3" t="s">
        <v>0</v>
      </c>
      <c r="E15" s="5" t="str">
        <f>INICIO!K12</f>
        <v>Dis_DataGravacao</v>
      </c>
      <c r="F15" s="3" t="str">
        <f t="shared" ref="F15:F78" si="3">CONCATENATE(F$13,F$7,".")</f>
        <v>" , _distribuicao.</v>
      </c>
      <c r="G15" s="3" t="str">
        <f t="shared" ref="G15:G78" si="4">LOWER(E15)</f>
        <v>dis_datagravacao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sql.Parameters.AddWithValue("@Dis_DataGravacao" , _distribuicao.dis_datagravacao);</v>
      </c>
    </row>
    <row r="16" spans="1:12">
      <c r="A16" t="str">
        <f t="shared" si="2"/>
        <v xml:space="preserve">, `Dis_Total` </v>
      </c>
      <c r="B16" t="str">
        <f t="shared" ref="B16:B79" si="5">IF(E16 &lt;&gt; "",CONCATENATE(", @",E16),"")</f>
        <v>, @Dis_Total</v>
      </c>
      <c r="D16" s="3" t="s">
        <v>0</v>
      </c>
      <c r="E16" s="5" t="str">
        <f>INICIO!K13</f>
        <v>Dis_Total</v>
      </c>
      <c r="F16" s="3" t="str">
        <f t="shared" si="3"/>
        <v>" , _distribuicao.</v>
      </c>
      <c r="G16" s="3" t="str">
        <f t="shared" si="4"/>
        <v>dis_total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sql.Parameters.AddWithValue("@Dis_Total" , _distribuicao.dis_total);</v>
      </c>
    </row>
    <row r="17" spans="1:12">
      <c r="A17" t="str">
        <f t="shared" si="2"/>
        <v xml:space="preserve">, `Dis_Operador` </v>
      </c>
      <c r="B17" t="str">
        <f t="shared" si="5"/>
        <v>, @Dis_Operador</v>
      </c>
      <c r="D17" s="3" t="s">
        <v>0</v>
      </c>
      <c r="E17" s="5" t="str">
        <f>INICIO!K14</f>
        <v>Dis_Operador</v>
      </c>
      <c r="F17" s="3" t="str">
        <f t="shared" si="3"/>
        <v>" , _distribuicao.</v>
      </c>
      <c r="G17" s="3" t="str">
        <f t="shared" si="4"/>
        <v>dis_operador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sql.Parameters.AddWithValue("@Dis_Operador" , _distribuicao.dis_operador);</v>
      </c>
    </row>
    <row r="18" spans="1:12" hidden="1">
      <c r="A18" t="str">
        <f t="shared" si="2"/>
        <v/>
      </c>
      <c r="B18" t="str">
        <f t="shared" si="5"/>
        <v/>
      </c>
      <c r="D18" s="3" t="s">
        <v>0</v>
      </c>
      <c r="E18" s="5" t="str">
        <f>INICIO!K15</f>
        <v/>
      </c>
      <c r="F18" s="3" t="str">
        <f t="shared" si="3"/>
        <v>" , _distribuicao.</v>
      </c>
      <c r="G18" s="3" t="str">
        <f t="shared" si="4"/>
        <v/>
      </c>
      <c r="H18" s="3" t="s">
        <v>1</v>
      </c>
      <c r="K18" s="38">
        <f t="shared" si="1"/>
        <v>0</v>
      </c>
      <c r="L18" s="3" t="str">
        <f>IF(ISBLANK(INICIO!B15),"",CONCATENATE("                ",D18,E18,F18,G18,H18))</f>
        <v/>
      </c>
    </row>
    <row r="19" spans="1:12" hidden="1">
      <c r="A19" t="str">
        <f t="shared" si="2"/>
        <v/>
      </c>
      <c r="B19" t="str">
        <f t="shared" si="5"/>
        <v/>
      </c>
      <c r="D19" s="3" t="s">
        <v>0</v>
      </c>
      <c r="E19" s="5" t="str">
        <f>INICIO!K16</f>
        <v/>
      </c>
      <c r="F19" s="3" t="str">
        <f t="shared" si="3"/>
        <v>" , _distribuicao.</v>
      </c>
      <c r="G19" s="3" t="str">
        <f t="shared" si="4"/>
        <v/>
      </c>
      <c r="H19" s="3" t="s">
        <v>1</v>
      </c>
      <c r="K19" s="38">
        <f t="shared" si="1"/>
        <v>0</v>
      </c>
      <c r="L19" s="3" t="str">
        <f>IF(ISBLANK(INICIO!B16),"",CONCATENATE("                ",D19,E19,F19,G19,H19))</f>
        <v/>
      </c>
    </row>
    <row r="20" spans="1:12" hidden="1">
      <c r="A20" t="str">
        <f t="shared" si="2"/>
        <v/>
      </c>
      <c r="B20" t="str">
        <f t="shared" si="5"/>
        <v/>
      </c>
      <c r="D20" s="3" t="s">
        <v>0</v>
      </c>
      <c r="E20" s="5" t="str">
        <f>INICIO!K17</f>
        <v/>
      </c>
      <c r="F20" s="3" t="str">
        <f t="shared" si="3"/>
        <v>" , _distribuicao.</v>
      </c>
      <c r="G20" s="3" t="str">
        <f t="shared" si="4"/>
        <v/>
      </c>
      <c r="H20" s="3" t="s">
        <v>1</v>
      </c>
      <c r="K20" s="38">
        <f t="shared" si="1"/>
        <v>0</v>
      </c>
      <c r="L20" s="3" t="str">
        <f>IF(ISBLANK(INICIO!B17),"",CONCATENATE("                ",D20,E20,F20,G20,H20))</f>
        <v/>
      </c>
    </row>
    <row r="21" spans="1:12" hidden="1">
      <c r="A21" t="str">
        <f t="shared" si="2"/>
        <v/>
      </c>
      <c r="B21" t="str">
        <f t="shared" si="5"/>
        <v/>
      </c>
      <c r="D21" s="3" t="s">
        <v>0</v>
      </c>
      <c r="E21" s="5" t="str">
        <f>INICIO!K18</f>
        <v/>
      </c>
      <c r="F21" s="3" t="str">
        <f t="shared" si="3"/>
        <v>" , _distribuicao.</v>
      </c>
      <c r="G21" s="3" t="str">
        <f t="shared" si="4"/>
        <v/>
      </c>
      <c r="H21" s="3" t="s">
        <v>1</v>
      </c>
      <c r="K21" s="38">
        <f t="shared" si="1"/>
        <v>0</v>
      </c>
      <c r="L21" s="3" t="str">
        <f>IF(ISBLANK(INICIO!B18),"",CONCATENATE("                ",D21,E21,F21,G21,H21))</f>
        <v/>
      </c>
    </row>
    <row r="22" spans="1:12" hidden="1">
      <c r="A22" t="str">
        <f t="shared" si="2"/>
        <v/>
      </c>
      <c r="B22" t="str">
        <f t="shared" si="5"/>
        <v/>
      </c>
      <c r="D22" s="3" t="s">
        <v>0</v>
      </c>
      <c r="E22" s="5" t="str">
        <f>INICIO!K19</f>
        <v/>
      </c>
      <c r="F22" s="3" t="str">
        <f t="shared" si="3"/>
        <v>" , _distribuicao.</v>
      </c>
      <c r="G22" s="3" t="str">
        <f t="shared" si="4"/>
        <v/>
      </c>
      <c r="H22" s="3" t="s">
        <v>1</v>
      </c>
      <c r="K22" s="38">
        <f t="shared" si="1"/>
        <v>0</v>
      </c>
      <c r="L22" s="3" t="str">
        <f>IF(ISBLANK(INICIO!B19),"",CONCATENATE("                ",D22,E22,F22,G22,H22))</f>
        <v/>
      </c>
    </row>
    <row r="23" spans="1:12" hidden="1">
      <c r="A23" t="str">
        <f t="shared" si="2"/>
        <v/>
      </c>
      <c r="B23" t="str">
        <f t="shared" si="5"/>
        <v/>
      </c>
      <c r="D23" s="3" t="s">
        <v>0</v>
      </c>
      <c r="E23" s="5" t="str">
        <f>INICIO!K20</f>
        <v/>
      </c>
      <c r="F23" s="3" t="str">
        <f t="shared" si="3"/>
        <v>" , _distribuicao.</v>
      </c>
      <c r="G23" s="3" t="str">
        <f t="shared" si="4"/>
        <v/>
      </c>
      <c r="H23" s="3" t="s">
        <v>1</v>
      </c>
      <c r="K23" s="38">
        <f t="shared" si="1"/>
        <v>0</v>
      </c>
      <c r="L23" s="3" t="str">
        <f>IF(ISBLANK(INICIO!B20),"",CONCATENATE("                ",D23,E23,F23,G23,H23))</f>
        <v/>
      </c>
    </row>
    <row r="24" spans="1:12" hidden="1">
      <c r="A24" t="str">
        <f t="shared" si="2"/>
        <v/>
      </c>
      <c r="B24" t="str">
        <f t="shared" si="5"/>
        <v/>
      </c>
      <c r="D24" s="3" t="s">
        <v>0</v>
      </c>
      <c r="E24" s="5" t="str">
        <f>INICIO!K21</f>
        <v/>
      </c>
      <c r="F24" s="3" t="str">
        <f t="shared" si="3"/>
        <v>" , _distribuicao.</v>
      </c>
      <c r="G24" s="3" t="str">
        <f t="shared" si="4"/>
        <v/>
      </c>
      <c r="H24" s="3" t="s">
        <v>1</v>
      </c>
      <c r="K24" s="38">
        <f t="shared" si="1"/>
        <v>0</v>
      </c>
      <c r="L24" s="3" t="str">
        <f>IF(ISBLANK(INICIO!B21),"",CONCATENATE("                ",D24,E24,F24,G24,H24))</f>
        <v/>
      </c>
    </row>
    <row r="25" spans="1:12" hidden="1">
      <c r="A25" t="str">
        <f t="shared" si="2"/>
        <v/>
      </c>
      <c r="B25" t="str">
        <f t="shared" si="5"/>
        <v/>
      </c>
      <c r="D25" s="3" t="s">
        <v>0</v>
      </c>
      <c r="E25" s="5" t="str">
        <f>INICIO!K22</f>
        <v/>
      </c>
      <c r="F25" s="3" t="str">
        <f t="shared" si="3"/>
        <v>" , _distribuicao.</v>
      </c>
      <c r="G25" s="3" t="str">
        <f t="shared" si="4"/>
        <v/>
      </c>
      <c r="H25" s="3" t="s">
        <v>1</v>
      </c>
      <c r="K25" s="38">
        <f t="shared" si="1"/>
        <v>0</v>
      </c>
      <c r="L25" s="3" t="str">
        <f>IF(ISBLANK(INICIO!B22),"",CONCATENATE("                ",D25,E25,F25,G25,H25))</f>
        <v/>
      </c>
    </row>
    <row r="26" spans="1:12" hidden="1">
      <c r="A26" t="str">
        <f t="shared" si="2"/>
        <v/>
      </c>
      <c r="B26" t="str">
        <f t="shared" si="5"/>
        <v/>
      </c>
      <c r="D26" s="3" t="s">
        <v>0</v>
      </c>
      <c r="E26" s="5" t="str">
        <f>INICIO!K23</f>
        <v/>
      </c>
      <c r="F26" s="3" t="str">
        <f t="shared" si="3"/>
        <v>" , _distribuicao.</v>
      </c>
      <c r="G26" s="3" t="str">
        <f t="shared" si="4"/>
        <v/>
      </c>
      <c r="H26" s="3" t="s">
        <v>1</v>
      </c>
      <c r="K26" s="38">
        <f t="shared" si="1"/>
        <v>0</v>
      </c>
      <c r="L26" s="3" t="str">
        <f>IF(ISBLANK(INICIO!B23),"",CONCATENATE("                ",D26,E26,F26,G26,H26))</f>
        <v/>
      </c>
    </row>
    <row r="27" spans="1:12" hidden="1">
      <c r="A27" t="str">
        <f t="shared" si="2"/>
        <v/>
      </c>
      <c r="B27" t="str">
        <f t="shared" si="5"/>
        <v/>
      </c>
      <c r="D27" s="3" t="s">
        <v>0</v>
      </c>
      <c r="E27" s="5" t="str">
        <f>INICIO!K24</f>
        <v/>
      </c>
      <c r="F27" s="3" t="str">
        <f t="shared" si="3"/>
        <v>" , _distribuicao.</v>
      </c>
      <c r="G27" s="3" t="str">
        <f t="shared" si="4"/>
        <v/>
      </c>
      <c r="H27" s="3" t="s">
        <v>1</v>
      </c>
      <c r="K27" s="38">
        <f t="shared" si="1"/>
        <v>0</v>
      </c>
      <c r="L27" s="3" t="str">
        <f>IF(ISBLANK(INICIO!B24),"",CONCATENATE("                ",D27,E27,F27,G27,H27))</f>
        <v/>
      </c>
    </row>
    <row r="28" spans="1:12" hidden="1">
      <c r="A28" t="str">
        <f t="shared" si="2"/>
        <v/>
      </c>
      <c r="B28" t="str">
        <f t="shared" si="5"/>
        <v/>
      </c>
      <c r="D28" s="3" t="s">
        <v>0</v>
      </c>
      <c r="E28" s="5" t="str">
        <f>INICIO!K25</f>
        <v/>
      </c>
      <c r="F28" s="3" t="str">
        <f t="shared" si="3"/>
        <v>" , _distribuicao.</v>
      </c>
      <c r="G28" s="3" t="str">
        <f t="shared" si="4"/>
        <v/>
      </c>
      <c r="H28" s="3" t="s">
        <v>1</v>
      </c>
      <c r="K28" s="38">
        <f t="shared" si="1"/>
        <v>0</v>
      </c>
      <c r="L28" s="3" t="str">
        <f>IF(ISBLANK(INICIO!B25),"",CONCATENATE("                ",D28,E28,F28,G28,H28))</f>
        <v/>
      </c>
    </row>
    <row r="29" spans="1:12" hidden="1">
      <c r="A29" t="str">
        <f t="shared" si="2"/>
        <v/>
      </c>
      <c r="B29" t="str">
        <f t="shared" si="5"/>
        <v/>
      </c>
      <c r="D29" s="3" t="s">
        <v>0</v>
      </c>
      <c r="E29" s="5" t="str">
        <f>INICIO!K26</f>
        <v/>
      </c>
      <c r="F29" s="3" t="str">
        <f t="shared" si="3"/>
        <v>" , _distribuicao.</v>
      </c>
      <c r="G29" s="3" t="str">
        <f t="shared" si="4"/>
        <v/>
      </c>
      <c r="H29" s="3" t="s">
        <v>1</v>
      </c>
      <c r="K29" s="38">
        <f t="shared" si="1"/>
        <v>0</v>
      </c>
      <c r="L29" s="3" t="str">
        <f>IF(ISBLANK(INICIO!B26),"",CONCATENATE("                ",D29,E29,F29,G29,H29))</f>
        <v/>
      </c>
    </row>
    <row r="30" spans="1:12" hidden="1">
      <c r="A30" t="str">
        <f t="shared" si="2"/>
        <v/>
      </c>
      <c r="B30" t="str">
        <f t="shared" si="5"/>
        <v/>
      </c>
      <c r="D30" s="3" t="s">
        <v>0</v>
      </c>
      <c r="E30" s="5" t="str">
        <f>INICIO!K27</f>
        <v/>
      </c>
      <c r="F30" s="3" t="str">
        <f t="shared" si="3"/>
        <v>" , _distribuicao.</v>
      </c>
      <c r="G30" s="3" t="str">
        <f t="shared" si="4"/>
        <v/>
      </c>
      <c r="H30" s="3" t="s">
        <v>1</v>
      </c>
      <c r="K30" s="38">
        <f t="shared" si="1"/>
        <v>0</v>
      </c>
      <c r="L30" s="3" t="str">
        <f>IF(ISBLANK(INICIO!B27),"",CONCATENATE("                ",D30,E30,F30,G30,H30))</f>
        <v/>
      </c>
    </row>
    <row r="31" spans="1:12" hidden="1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_distribuicao.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_distribuicao.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_distribuicao.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_distribuicao.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_distribuicao.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_distribuicao.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_distribuicao.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_distribuicao.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_distribuicao.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_distribuicao.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_distribuicao.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_distribuicao.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_distribuicao.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_distribuicao.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_distribuicao.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_distribuicao.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_distribuicao.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_distribuicao.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_distribuicao.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_distribuicao.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_distribuicao.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_distribuicao.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_distribuicao.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_distribuicao.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_distribuicao.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_distribuicao.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_distribuicao.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_distribuicao.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_distribuicao.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_distribuicao.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_distribuicao.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_distribuicao.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_distribuicao.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_distribuicao.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_distribuicao.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_distribuicao.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_distribuicao.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_distribuicao.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_distribuicao.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_distribuicao.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_distribuicao.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_distribuicao.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_distribuicao.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_distribuicao.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_distribuicao.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_distribuicao.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_distribuicao.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_distribuicao.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_distribuicao.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_distribuicao.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_distribuicao.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_distribuicao.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_distribuicao.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_distribuicao.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_distribuicao.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_distribuicao.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_distribuicao.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_distribuicao.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_distribuicao.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_distribuicao.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_distribuicao.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_distribuicao.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_distribuicao.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_distribuicao.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_distribuicao.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_distribuicao.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_distribuicao.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_distribuicao.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_distribuicao.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_distribuicao.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_distribuicao.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_distribuicao.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_distribuicao.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_distribuicao.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_distribuicao.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_distribuicao.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_distribuicao.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_distribuicao.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_distribuicao.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_distribuicao.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_distribuicao.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_distribuicao.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>
      <c r="K113" s="38">
        <f t="shared" si="7"/>
        <v>1</v>
      </c>
      <c r="L113" s="3" t="s">
        <v>120</v>
      </c>
    </row>
    <row r="114" spans="4:12">
      <c r="K114" s="38">
        <f t="shared" si="7"/>
        <v>1</v>
      </c>
      <c r="L114" s="3" t="s">
        <v>116</v>
      </c>
    </row>
    <row r="115" spans="4:12">
      <c r="K115" s="38">
        <f t="shared" si="7"/>
        <v>1</v>
      </c>
      <c r="L115" s="3" t="s">
        <v>24</v>
      </c>
    </row>
    <row r="116" spans="4:12">
      <c r="K116" s="38">
        <f t="shared" si="7"/>
        <v>1</v>
      </c>
      <c r="L116" s="3" t="s">
        <v>25</v>
      </c>
    </row>
    <row r="117" spans="4:12">
      <c r="K117" s="38">
        <f t="shared" si="7"/>
        <v>1</v>
      </c>
      <c r="L117" s="3" t="s">
        <v>26</v>
      </c>
    </row>
    <row r="118" spans="4:12">
      <c r="K118" s="38">
        <f t="shared" si="7"/>
        <v>1</v>
      </c>
      <c r="L118" s="3" t="s">
        <v>27</v>
      </c>
    </row>
    <row r="119" spans="4:12">
      <c r="K119" s="38">
        <f t="shared" si="7"/>
        <v>1</v>
      </c>
      <c r="L119" s="3" t="s">
        <v>28</v>
      </c>
    </row>
    <row r="120" spans="4:12">
      <c r="K120" s="38">
        <f t="shared" si="7"/>
        <v>1</v>
      </c>
      <c r="L120" s="3" t="s">
        <v>29</v>
      </c>
    </row>
    <row r="121" spans="4:12">
      <c r="K121" s="38">
        <f t="shared" si="7"/>
        <v>1</v>
      </c>
      <c r="L121" s="3" t="s">
        <v>30</v>
      </c>
    </row>
    <row r="122" spans="4:12">
      <c r="K122" s="38">
        <f t="shared" si="7"/>
        <v>1</v>
      </c>
      <c r="L122" s="3" t="s">
        <v>31</v>
      </c>
    </row>
    <row r="123" spans="4:12">
      <c r="K123" s="38">
        <f t="shared" si="7"/>
        <v>1</v>
      </c>
      <c r="L123" s="3" t="s">
        <v>12</v>
      </c>
    </row>
    <row r="124" spans="4:12">
      <c r="K124" s="38">
        <f t="shared" si="7"/>
        <v>1</v>
      </c>
      <c r="L124" s="3" t="s">
        <v>84</v>
      </c>
    </row>
    <row r="125" spans="4:12">
      <c r="K125" s="38">
        <f t="shared" si="7"/>
        <v>1</v>
      </c>
      <c r="L125" s="3" t="s">
        <v>11</v>
      </c>
    </row>
    <row r="126" spans="4:12">
      <c r="K126" s="38">
        <f t="shared" si="7"/>
        <v>1</v>
      </c>
      <c r="L126" s="3" t="s">
        <v>119</v>
      </c>
    </row>
    <row r="127" spans="4:12">
      <c r="K127" s="38">
        <f t="shared" si="7"/>
        <v>1</v>
      </c>
      <c r="L127" s="3" t="s">
        <v>12</v>
      </c>
    </row>
    <row r="128" spans="4:12">
      <c r="D128" t="s">
        <v>71</v>
      </c>
      <c r="K128" s="38">
        <f t="shared" si="7"/>
        <v>1</v>
      </c>
      <c r="L128" s="3" t="s">
        <v>71</v>
      </c>
    </row>
    <row r="129" spans="11:12">
      <c r="K129" s="38">
        <f t="shared" si="7"/>
        <v>1</v>
      </c>
      <c r="L129" s="3" t="s">
        <v>155</v>
      </c>
    </row>
    <row r="130" spans="11:12">
      <c r="K130" s="38">
        <f t="shared" si="7"/>
        <v>1</v>
      </c>
      <c r="L130" s="3" t="s">
        <v>71</v>
      </c>
    </row>
    <row r="131" spans="11:12">
      <c r="K131" s="38">
        <f t="shared" si="7"/>
        <v>1</v>
      </c>
      <c r="L131" s="3" t="s">
        <v>155</v>
      </c>
    </row>
    <row r="132" spans="11:12">
      <c r="K132" s="38">
        <f t="shared" si="7"/>
        <v>1</v>
      </c>
      <c r="L132" s="3" t="s">
        <v>155</v>
      </c>
    </row>
    <row r="133" spans="11:12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>
      <c r="I1" s="41" t="s">
        <v>118</v>
      </c>
      <c r="J1" s="42" t="s">
        <v>117</v>
      </c>
    </row>
    <row r="2" spans="1:10">
      <c r="B2" s="1" t="s">
        <v>142</v>
      </c>
      <c r="C2" t="str">
        <f>INICIO!D5</f>
        <v>Distribuicao</v>
      </c>
      <c r="D2" t="str">
        <f>CONCATENATE(" _",LOWER(INICIO!D3))</f>
        <v xml:space="preserve"> _distribuicao</v>
      </c>
      <c r="E2" s="4" t="s">
        <v>132</v>
      </c>
      <c r="I2" s="37">
        <f>IF(J2&lt;&gt;"",1,0)</f>
        <v>1</v>
      </c>
      <c r="J2" s="3" t="str">
        <f>CONCATENATE(B2,C2,D2,E2,)</f>
        <v xml:space="preserve">        public bool _Editar(Distribuicao _distribuicao, string stringConnect)</v>
      </c>
    </row>
    <row r="3" spans="1:10">
      <c r="B3" s="39" t="s">
        <v>70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>
      <c r="B4" s="39" t="s">
        <v>80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>
      <c r="B6" s="39"/>
      <c r="C6" s="39"/>
      <c r="I6" s="37">
        <f t="shared" si="0"/>
        <v>1</v>
      </c>
      <c r="J6" s="3" t="s">
        <v>85</v>
      </c>
    </row>
    <row r="7" spans="1:10">
      <c r="B7" t="s">
        <v>143</v>
      </c>
      <c r="C7" t="str">
        <f>SUBSTITUTE(B7,"?ID?",INICIO!K10)</f>
        <v xml:space="preserve">                var sql = new MySqlCommand(" UPDATE ?TABELA? SET Dis_Id = @Dis_Id ?CAMPOS? WHERE Dis_Id = @Dis_Id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Dis_DataDefinida = @Dis_DataDefinida, Dis_DataGravacao = @Dis_DataGravacao, Dis_Total = @Dis_Total, Dis_Operador = @Dis_Operador</v>
      </c>
      <c r="E7" s="19" t="str">
        <f>SUBSTITUTE(C7,"?CAMPOS?",D7)</f>
        <v xml:space="preserve">                var sql = new MySqlCommand(" UPDATE ?TABELA? SET Dis_Id = @Dis_Id , Dis_DataDefinida = @Dis_DataDefinida, Dis_DataGravacao = @Dis_DataGravacao, Dis_Total = @Dis_Total, Dis_Operador = @Dis_Operador WHERE Dis_Id = @Dis_Id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Distribuicao SET Dis_Id = @Dis_Id , Dis_DataDefinida = @Dis_DataDefinida, Dis_DataGravacao = @Dis_DataGravacao, Dis_Total = @Dis_Total, Dis_Operador = @Dis_Operador WHERE Dis_Id = @Dis_Id ", conexao);</v>
      </c>
    </row>
    <row r="8" spans="1:10">
      <c r="B8" s="7" t="s">
        <v>141</v>
      </c>
      <c r="C8" s="7" t="str">
        <f>SUBSTITUTE(B8,"?tabela?",D2)</f>
        <v xml:space="preserve">                sql.Parameters.AddWithValue("@???",  _distribuicao.???);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sql.Parameters.AddWithValue("@Dis_Id",  _distribuicao.Dis_Id);</v>
      </c>
    </row>
    <row r="9" spans="1:10">
      <c r="A9" s="12">
        <v>2</v>
      </c>
      <c r="B9" s="12">
        <f>LOOKUP(A9,INICIO!A:A,INICIO!J:J)</f>
        <v>1</v>
      </c>
      <c r="C9" s="12" t="str">
        <f>LOOKUP(A9,INICIO!A:A,INICIO!K:K)</f>
        <v>Dis_DataDefinida</v>
      </c>
      <c r="D9" s="105" t="str">
        <f>IF(B9,CONCATENATE(", ",C9," = ","@",C9),"")</f>
        <v>, Dis_DataDefinida = @Dis_DataDefinida</v>
      </c>
      <c r="I9" s="37">
        <f t="shared" si="0"/>
        <v>1</v>
      </c>
      <c r="J9" s="3" t="str">
        <f>IF(B9,SUBSTITUTE(C$8,"???",EDITAR!C9),"")</f>
        <v xml:space="preserve">                sql.Parameters.AddWithValue("@Dis_DataDefinida",  _distribuicao.Dis_DataDefinida);</v>
      </c>
    </row>
    <row r="10" spans="1:10">
      <c r="A10" s="12">
        <v>3</v>
      </c>
      <c r="B10" s="12">
        <f>LOOKUP(A10,INICIO!A:A,INICIO!J:J)</f>
        <v>1</v>
      </c>
      <c r="C10" s="12" t="str">
        <f>LOOKUP(A10,INICIO!A:A,INICIO!K:K)</f>
        <v>Dis_DataGravacao</v>
      </c>
      <c r="D10" s="105" t="str">
        <f>IF(B10,CONCATENATE(", ",C10," = ","@",C10),"")</f>
        <v>, Dis_DataGravacao = @Dis_DataGravacao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sql.Parameters.AddWithValue("@Dis_DataGravacao",  _distribuicao.Dis_DataGravacao);</v>
      </c>
    </row>
    <row r="11" spans="1:10">
      <c r="A11" s="12">
        <v>4</v>
      </c>
      <c r="B11" s="12">
        <f>LOOKUP(A11,INICIO!A:A,INICIO!J:J)</f>
        <v>1</v>
      </c>
      <c r="C11" s="12" t="str">
        <f>LOOKUP(A11,INICIO!A:A,INICIO!K:K)</f>
        <v>Dis_Total</v>
      </c>
      <c r="D11" s="105" t="str">
        <f t="shared" ref="D11:D74" si="3">IF(B11,CONCATENATE(", ",C11," = ","@",C11),"")</f>
        <v>, Dis_Total = @Dis_Total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sql.Parameters.AddWithValue("@Dis_Total",  _distribuicao.Dis_Total);</v>
      </c>
    </row>
    <row r="12" spans="1:10">
      <c r="A12" s="12">
        <v>5</v>
      </c>
      <c r="B12" s="12">
        <f>LOOKUP(A12,INICIO!A:A,INICIO!J:J)</f>
        <v>1</v>
      </c>
      <c r="C12" s="12" t="str">
        <f>LOOKUP(A12,INICIO!A:A,INICIO!K:K)</f>
        <v>Dis_Operador</v>
      </c>
      <c r="D12" s="105" t="str">
        <f t="shared" si="3"/>
        <v>, Dis_Operador = @Dis_Operador</v>
      </c>
      <c r="I12" s="37">
        <f t="shared" si="4"/>
        <v>1</v>
      </c>
      <c r="J12" s="3" t="str">
        <f>IF(B12,SUBSTITUTE(C$8,"???",EDITAR!C12),"")</f>
        <v xml:space="preserve">                sql.Parameters.AddWithValue("@Dis_Operador",  _distribuicao.Dis_Operador);</v>
      </c>
    </row>
    <row r="13" spans="1:10" hidden="1">
      <c r="A13" s="12">
        <v>6</v>
      </c>
      <c r="B13" s="12">
        <f>LOOKUP(A13,INICIO!A:A,INICIO!J:J)</f>
        <v>0</v>
      </c>
      <c r="C13" s="12" t="str">
        <f>LOOKUP(A13,INICIO!A:A,INICIO!K:K)</f>
        <v/>
      </c>
      <c r="D13" s="105" t="str">
        <f t="shared" si="3"/>
        <v/>
      </c>
      <c r="I13" s="37">
        <f t="shared" si="4"/>
        <v>0</v>
      </c>
      <c r="J13" s="3" t="str">
        <f>IF(B13,SUBSTITUTE(C$8,"???",EDITAR!C13),"")</f>
        <v/>
      </c>
    </row>
    <row r="14" spans="1:10" hidden="1">
      <c r="A14" s="12">
        <v>7</v>
      </c>
      <c r="B14" s="12">
        <f>LOOKUP(A14,INICIO!A:A,INICIO!J:J)</f>
        <v>0</v>
      </c>
      <c r="C14" s="12" t="str">
        <f>LOOKUP(A14,INICIO!A:A,INICIO!K:K)</f>
        <v/>
      </c>
      <c r="D14" s="105" t="str">
        <f t="shared" si="3"/>
        <v/>
      </c>
      <c r="I14" s="37">
        <f t="shared" si="4"/>
        <v>0</v>
      </c>
      <c r="J14" s="3" t="str">
        <f>IF(B14,SUBSTITUTE(C$8,"???",EDITAR!C14),"")</f>
        <v/>
      </c>
    </row>
    <row r="15" spans="1:10" hidden="1">
      <c r="A15" s="12">
        <v>8</v>
      </c>
      <c r="B15" s="12">
        <f>LOOKUP(A15,INICIO!A:A,INICIO!J:J)</f>
        <v>0</v>
      </c>
      <c r="C15" s="12" t="str">
        <f>LOOKUP(A15,INICIO!A:A,INICIO!K:K)</f>
        <v/>
      </c>
      <c r="D15" s="105" t="str">
        <f t="shared" si="3"/>
        <v/>
      </c>
      <c r="I15" s="37">
        <f t="shared" si="4"/>
        <v>0</v>
      </c>
      <c r="J15" s="3" t="str">
        <f>IF(B15,SUBSTITUTE(C$8,"???",EDITAR!C15),"")</f>
        <v/>
      </c>
    </row>
    <row r="16" spans="1:10" hidden="1">
      <c r="A16" s="12">
        <v>9</v>
      </c>
      <c r="B16" s="12">
        <f>LOOKUP(A16,INICIO!A:A,INICIO!J:J)</f>
        <v>0</v>
      </c>
      <c r="C16" s="12" t="str">
        <f>LOOKUP(A16,INICIO!A:A,INICIO!K:K)</f>
        <v/>
      </c>
      <c r="D16" s="105" t="str">
        <f t="shared" si="3"/>
        <v/>
      </c>
      <c r="I16" s="37">
        <f t="shared" si="4"/>
        <v>0</v>
      </c>
      <c r="J16" s="3" t="str">
        <f>IF(B16,SUBSTITUTE(C$8,"???",EDITAR!C16),"")</f>
        <v/>
      </c>
    </row>
    <row r="17" spans="1:10" hidden="1">
      <c r="A17" s="12">
        <v>10</v>
      </c>
      <c r="B17" s="12">
        <f>LOOKUP(A17,INICIO!A:A,INICIO!J:J)</f>
        <v>0</v>
      </c>
      <c r="C17" s="12" t="str">
        <f>LOOKUP(A17,INICIO!A:A,INICIO!K:K)</f>
        <v/>
      </c>
      <c r="D17" s="105" t="str">
        <f t="shared" si="3"/>
        <v/>
      </c>
      <c r="I17" s="37">
        <f t="shared" si="4"/>
        <v>0</v>
      </c>
      <c r="J17" s="3" t="str">
        <f>IF(B17,SUBSTITUTE(C$8,"???",EDITAR!C17),"")</f>
        <v/>
      </c>
    </row>
    <row r="18" spans="1:10" hidden="1">
      <c r="A18" s="12">
        <v>11</v>
      </c>
      <c r="B18" s="12">
        <f>LOOKUP(A18,INICIO!A:A,INICIO!J:J)</f>
        <v>0</v>
      </c>
      <c r="C18" s="12" t="str">
        <f>LOOKUP(A18,INICIO!A:A,INICIO!K:K)</f>
        <v/>
      </c>
      <c r="D18" s="105" t="str">
        <f t="shared" si="3"/>
        <v/>
      </c>
      <c r="I18" s="37">
        <f t="shared" si="4"/>
        <v>0</v>
      </c>
      <c r="J18" s="3" t="str">
        <f>IF(B18,SUBSTITUTE(C$8,"???",EDITAR!C18),"")</f>
        <v/>
      </c>
    </row>
    <row r="19" spans="1:10" hidden="1">
      <c r="A19" s="12">
        <v>12</v>
      </c>
      <c r="B19" s="12">
        <f>LOOKUP(A19,INICIO!A:A,INICIO!J:J)</f>
        <v>0</v>
      </c>
      <c r="C19" s="12" t="str">
        <f>LOOKUP(A19,INICIO!A:A,INICIO!K:K)</f>
        <v/>
      </c>
      <c r="D19" s="105" t="str">
        <f t="shared" si="3"/>
        <v/>
      </c>
      <c r="I19" s="37">
        <f t="shared" si="4"/>
        <v>0</v>
      </c>
      <c r="J19" s="3" t="str">
        <f>IF(B19,SUBSTITUTE(C$8,"???",EDITAR!C19),"")</f>
        <v/>
      </c>
    </row>
    <row r="20" spans="1:10" hidden="1">
      <c r="A20" s="12">
        <v>13</v>
      </c>
      <c r="B20" s="12">
        <f>LOOKUP(A20,INICIO!A:A,INICIO!J:J)</f>
        <v>0</v>
      </c>
      <c r="C20" s="12" t="str">
        <f>LOOKUP(A20,INICIO!A:A,INICIO!K:K)</f>
        <v/>
      </c>
      <c r="D20" s="105" t="str">
        <f t="shared" si="3"/>
        <v/>
      </c>
      <c r="I20" s="37">
        <f t="shared" si="4"/>
        <v>0</v>
      </c>
      <c r="J20" s="3" t="str">
        <f>IF(B20,SUBSTITUTE(C$8,"???",EDITAR!C20),"")</f>
        <v/>
      </c>
    </row>
    <row r="21" spans="1:10" hidden="1">
      <c r="A21" s="12">
        <v>14</v>
      </c>
      <c r="B21" s="12">
        <f>LOOKUP(A21,INICIO!A:A,INICIO!J:J)</f>
        <v>0</v>
      </c>
      <c r="C21" s="12" t="str">
        <f>LOOKUP(A21,INICIO!A:A,INICIO!K:K)</f>
        <v/>
      </c>
      <c r="D21" s="105" t="str">
        <f t="shared" si="3"/>
        <v/>
      </c>
      <c r="I21" s="37">
        <f t="shared" si="4"/>
        <v>0</v>
      </c>
      <c r="J21" s="3" t="str">
        <f>IF(B21,SUBSTITUTE(C$8,"???",EDITAR!C21),"")</f>
        <v/>
      </c>
    </row>
    <row r="22" spans="1:10" hidden="1">
      <c r="A22" s="12">
        <v>15</v>
      </c>
      <c r="B22" s="12">
        <f>LOOKUP(A22,INICIO!A:A,INICIO!J:J)</f>
        <v>0</v>
      </c>
      <c r="C22" s="12" t="str">
        <f>LOOKUP(A22,INICIO!A:A,INICIO!K:K)</f>
        <v/>
      </c>
      <c r="D22" s="105" t="str">
        <f t="shared" si="3"/>
        <v/>
      </c>
      <c r="I22" s="37">
        <f t="shared" si="4"/>
        <v>0</v>
      </c>
      <c r="J22" s="3" t="str">
        <f>IF(B22,SUBSTITUTE(C$8,"???",EDITAR!C22),"")</f>
        <v/>
      </c>
    </row>
    <row r="23" spans="1:10" hidden="1">
      <c r="A23" s="12">
        <v>16</v>
      </c>
      <c r="B23" s="12">
        <f>LOOKUP(A23,INICIO!A:A,INICIO!J:J)</f>
        <v>0</v>
      </c>
      <c r="C23" s="12" t="str">
        <f>LOOKUP(A23,INICIO!A:A,INICIO!K:K)</f>
        <v/>
      </c>
      <c r="D23" s="105" t="str">
        <f t="shared" si="3"/>
        <v/>
      </c>
      <c r="I23" s="37">
        <f t="shared" si="4"/>
        <v>0</v>
      </c>
      <c r="J23" s="3" t="str">
        <f>IF(B23,SUBSTITUTE(C$8,"???",EDITAR!C23),"")</f>
        <v/>
      </c>
    </row>
    <row r="24" spans="1:10" hidden="1">
      <c r="A24" s="12">
        <v>17</v>
      </c>
      <c r="B24" s="12">
        <f>LOOKUP(A24,INICIO!A:A,INICIO!J:J)</f>
        <v>0</v>
      </c>
      <c r="C24" s="12" t="str">
        <f>LOOKUP(A24,INICIO!A:A,INICIO!K:K)</f>
        <v/>
      </c>
      <c r="D24" s="105" t="str">
        <f t="shared" si="3"/>
        <v/>
      </c>
      <c r="I24" s="37">
        <f t="shared" si="4"/>
        <v>0</v>
      </c>
      <c r="J24" s="3" t="str">
        <f>IF(B24,SUBSTITUTE(C$8,"???",EDITAR!C24),"")</f>
        <v/>
      </c>
    </row>
    <row r="25" spans="1:10" hidden="1">
      <c r="A25" s="12">
        <v>18</v>
      </c>
      <c r="B25" s="12">
        <f>LOOKUP(A25,INICIO!A:A,INICIO!J:J)</f>
        <v>0</v>
      </c>
      <c r="C25" s="12" t="str">
        <f>LOOKUP(A25,INICIO!A:A,INICIO!K:K)</f>
        <v/>
      </c>
      <c r="D25" s="105" t="str">
        <f t="shared" si="3"/>
        <v/>
      </c>
      <c r="I25" s="37">
        <f t="shared" si="4"/>
        <v>0</v>
      </c>
      <c r="J25" s="3" t="str">
        <f>IF(B25,SUBSTITUTE(C$8,"???",EDITAR!C25),"")</f>
        <v/>
      </c>
    </row>
    <row r="26" spans="1:10" hidden="1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>
      <c r="I108" s="37">
        <f t="shared" ref="I108:I118" si="7">IF(J108&lt;&gt;"",1,0)</f>
        <v>0</v>
      </c>
      <c r="J108" s="3"/>
    </row>
    <row r="109" spans="1:10">
      <c r="B109" s="39" t="s">
        <v>116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>
      <c r="B110" s="39" t="s">
        <v>124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>
      <c r="B111" s="39" t="s">
        <v>25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>
      <c r="B112" s="39" t="s">
        <v>26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>
      <c r="B113" s="39" t="s">
        <v>27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>
      <c r="B114" s="39" t="s">
        <v>28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>
      <c r="B115" s="39" t="s">
        <v>29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>
      <c r="B116" s="39" t="s">
        <v>30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>
      <c r="B117" s="39" t="s">
        <v>31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>
      <c r="B119" s="39" t="s">
        <v>84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>
      <c r="B121" s="39" t="s">
        <v>119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>
      <c r="B123" s="39" t="s">
        <v>71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>
    <tabColor rgb="FFFFFF00"/>
  </sheetPr>
  <dimension ref="A1:H24"/>
  <sheetViews>
    <sheetView topLeftCell="G1" workbookViewId="0">
      <selection activeCell="K15" sqref="K15"/>
    </sheetView>
  </sheetViews>
  <sheetFormatPr defaultRowHeight="1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>
      <c r="G1" s="99"/>
      <c r="H1" s="35" t="s">
        <v>117</v>
      </c>
    </row>
    <row r="2" spans="1:8">
      <c r="A2" s="70" t="s">
        <v>129</v>
      </c>
      <c r="B2" s="71" t="s">
        <v>133</v>
      </c>
      <c r="C2" s="71" t="s">
        <v>134</v>
      </c>
      <c r="D2" s="71" t="str">
        <f>LOWER(D8)</f>
        <v>dis_id</v>
      </c>
      <c r="E2" s="71" t="s">
        <v>132</v>
      </c>
      <c r="F2" s="75"/>
      <c r="G2" s="73"/>
      <c r="H2" s="3" t="str">
        <f>CONCATENATE(A2,B2,C2,D2,E2,F2)</f>
        <v xml:space="preserve">        public bool _Excluir (int dis_id, string stringConnect)</v>
      </c>
    </row>
    <row r="3" spans="1:8">
      <c r="A3" s="72" t="s">
        <v>70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>
      <c r="A4" s="72" t="s">
        <v>80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>
      <c r="A6" s="72" t="s">
        <v>131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>
      <c r="A7" s="72"/>
      <c r="B7" s="73"/>
      <c r="C7" s="73"/>
      <c r="D7" s="73"/>
      <c r="E7" s="73"/>
      <c r="F7" s="76"/>
      <c r="G7" s="73"/>
      <c r="H7" s="3"/>
    </row>
    <row r="8" spans="1:8">
      <c r="A8" s="72" t="s">
        <v>125</v>
      </c>
      <c r="B8" s="73" t="str">
        <f>INICIO!D3</f>
        <v>Distribuicao</v>
      </c>
      <c r="C8" s="73" t="s">
        <v>126</v>
      </c>
      <c r="D8" s="73" t="str">
        <f>INICIO!K10</f>
        <v>Dis_Id</v>
      </c>
      <c r="E8" s="73" t="str">
        <f>CONCATENATE(" = @",D8)</f>
        <v xml:space="preserve"> = @Dis_Id</v>
      </c>
      <c r="F8" s="76" t="s">
        <v>127</v>
      </c>
      <c r="G8" s="73"/>
      <c r="H8" s="3" t="str">
        <f t="shared" si="0"/>
        <v xml:space="preserve">                var sql = new MySqlCommand("DELETE FROM Distribuicao WHERE Dis_Id = @Dis_Id ", conexao);</v>
      </c>
    </row>
    <row r="9" spans="1:8">
      <c r="A9" s="72" t="s">
        <v>128</v>
      </c>
      <c r="B9" s="73" t="str">
        <f>CONCATENATE("@",D8)</f>
        <v>@Dis_Id</v>
      </c>
      <c r="C9" s="73" t="s">
        <v>130</v>
      </c>
      <c r="D9" s="73" t="str">
        <f>D2</f>
        <v>dis_id</v>
      </c>
      <c r="E9" s="73" t="s">
        <v>1</v>
      </c>
      <c r="F9" s="76"/>
      <c r="G9" s="73"/>
      <c r="H9" s="3" t="str">
        <f t="shared" si="0"/>
        <v xml:space="preserve">                sql.Parameters.AddWithValue("@Dis_Id", dis_id);</v>
      </c>
    </row>
    <row r="10" spans="1:8">
      <c r="A10" s="72" t="s">
        <v>116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>
      <c r="A11" s="72" t="s">
        <v>124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>
      <c r="A12" s="72" t="s">
        <v>25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>
      <c r="A13" s="72" t="s">
        <v>26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>
      <c r="A14" s="72" t="s">
        <v>27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>
      <c r="A15" s="72" t="s">
        <v>28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>
      <c r="A16" s="72" t="s">
        <v>29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>
      <c r="A17" s="72" t="s">
        <v>30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>
      <c r="A18" s="72" t="s">
        <v>31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>
      <c r="A20" s="72" t="s">
        <v>84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>
      <c r="A22" s="72" t="s">
        <v>119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>
      <c r="A24" s="74" t="s">
        <v>71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 filterMode="1">
    <tabColor rgb="FFFFFF00"/>
  </sheetPr>
  <dimension ref="A1:L236"/>
  <sheetViews>
    <sheetView showGridLines="0" topLeftCell="J1" workbookViewId="0">
      <selection activeCell="K1" sqref="K1:L236"/>
    </sheetView>
  </sheetViews>
  <sheetFormatPr defaultRowHeight="1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>
      <c r="K1" s="2" t="s">
        <v>118</v>
      </c>
      <c r="L1" s="35" t="s">
        <v>145</v>
      </c>
    </row>
    <row r="2" spans="2:12">
      <c r="B2" t="s">
        <v>135</v>
      </c>
      <c r="C2" t="str">
        <f>INICIO!D5</f>
        <v>Distribuicao</v>
      </c>
      <c r="D2" t="s">
        <v>136</v>
      </c>
      <c r="K2" s="38">
        <f>IF(L2&lt;&gt;"",1,0)</f>
        <v>1</v>
      </c>
      <c r="L2" s="9" t="str">
        <f t="shared" ref="L2:L3" si="0">CONCATENATE(B2,C2,D2,E2,F2)</f>
        <v xml:space="preserve">        public IList&lt;Distribuicao&gt; _ListarTodos (string stringConnect)</v>
      </c>
    </row>
    <row r="3" spans="2:12">
      <c r="B3" t="s">
        <v>70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>
      <c r="B4" t="s">
        <v>80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>
      <c r="B6" t="s">
        <v>85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>
      <c r="B7" t="s">
        <v>137</v>
      </c>
      <c r="K7" s="38">
        <f t="shared" si="1"/>
        <v>1</v>
      </c>
      <c r="L7" s="9" t="str">
        <f t="shared" si="2"/>
        <v xml:space="preserve">     </v>
      </c>
    </row>
    <row r="8" spans="2:12">
      <c r="B8" t="s">
        <v>81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>
      <c r="B9" t="s">
        <v>26</v>
      </c>
      <c r="K9" s="38">
        <f t="shared" si="1"/>
        <v>1</v>
      </c>
      <c r="L9" s="9" t="str">
        <f t="shared" si="2"/>
        <v xml:space="preserve">                {</v>
      </c>
    </row>
    <row r="10" spans="2:12">
      <c r="B10" t="s">
        <v>82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>
      <c r="B11" t="s">
        <v>29</v>
      </c>
      <c r="K11" s="38">
        <f t="shared" si="1"/>
        <v>1</v>
      </c>
      <c r="L11" s="9" t="str">
        <f t="shared" si="2"/>
        <v xml:space="preserve">                }</v>
      </c>
    </row>
    <row r="12" spans="2:12">
      <c r="B12" t="s">
        <v>25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>
      <c r="B13" t="s">
        <v>26</v>
      </c>
      <c r="K13" s="38">
        <f t="shared" si="1"/>
        <v>1</v>
      </c>
      <c r="L13" s="9" t="str">
        <f t="shared" si="2"/>
        <v xml:space="preserve">                {</v>
      </c>
    </row>
    <row r="14" spans="2:12">
      <c r="B14" t="s">
        <v>86</v>
      </c>
      <c r="C14" s="1" t="str">
        <f>CONCATENATE(INICIO!D5,"&gt; ")</f>
        <v xml:space="preserve">Distribuicao&gt; </v>
      </c>
      <c r="D14" s="1" t="str">
        <f>CONCATENATE("Listade",INICIO!D5)</f>
        <v>ListadeDistribuicao</v>
      </c>
      <c r="E14" s="27" t="s">
        <v>96</v>
      </c>
      <c r="F14" s="1" t="str">
        <f>CONCATENATE(INICIO!D5,"&gt;();")</f>
        <v>Distribuicao&gt;();</v>
      </c>
      <c r="K14" s="38">
        <f t="shared" si="1"/>
        <v>1</v>
      </c>
      <c r="L14" s="9" t="str">
        <f>CONCATENATE("                    ",B14,C14,D14,E14,F14)</f>
        <v xml:space="preserve">                    IList&lt;Distribuicao&gt; ListadeDistribuicao = new ObservableCollection&lt;Distribuicao&gt;();</v>
      </c>
    </row>
    <row r="15" spans="2:12">
      <c r="B15" t="s">
        <v>88</v>
      </c>
      <c r="C15" s="1" t="str">
        <f>INICIO!D3</f>
        <v>Distribuicao</v>
      </c>
      <c r="D15" t="s">
        <v>89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Distribuicao", conexao);</v>
      </c>
    </row>
    <row r="16" spans="2:12">
      <c r="B16" t="s">
        <v>90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>
      <c r="B17" t="s">
        <v>91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>
      <c r="B19" s="1" t="str">
        <f>INICIO!D5</f>
        <v>Distribuicao</v>
      </c>
      <c r="C19" s="1" t="str">
        <f>CONCATENATE(" _",LOWER(B19))</f>
        <v xml:space="preserve"> _distribuicao</v>
      </c>
      <c r="D19" t="s">
        <v>92</v>
      </c>
      <c r="E19" s="1" t="str">
        <f>B19</f>
        <v>Distribuicao</v>
      </c>
      <c r="F19" t="s">
        <v>93</v>
      </c>
      <c r="K19" s="38">
        <f t="shared" si="1"/>
        <v>1</v>
      </c>
      <c r="L19" s="9" t="str">
        <f>CONCATENATE("                        ",B19,C19,D19,E19,F19)</f>
        <v xml:space="preserve">                        Distribuicao _distribuicao = new Distribuicao();</v>
      </c>
    </row>
    <row r="20" spans="1:12" s="4" customFormat="1">
      <c r="B20" s="4" t="s">
        <v>121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>
      <c r="A21" s="24">
        <v>1</v>
      </c>
      <c r="B21" s="21" t="s">
        <v>94</v>
      </c>
      <c r="C21" s="25" t="str">
        <f>LOOKUP(A21,INICIO!A$10:A$109,INICIO!K$10:K$109)</f>
        <v>Dis_Id</v>
      </c>
      <c r="D21" s="22" t="s">
        <v>95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(MySqlDR["Dis_Id"] != DBNull.Value)</v>
      </c>
    </row>
    <row r="22" spans="1:12">
      <c r="A22" s="28">
        <f>LOOKUP(A21,INICIO!A$10:A$109,INICIO!C$10:C$109)</f>
        <v>2</v>
      </c>
      <c r="B22" s="31" t="str">
        <f t="shared" ref="B22:B84" si="4">CONCATENATE(C$19,".",C21," = ")</f>
        <v xml:space="preserve"> _distribuicao.Dis_Id = </v>
      </c>
      <c r="C22" s="23" t="str">
        <f t="shared" ref="C22" si="5">SUBSTITUTE(E22,"???",CONCATENATE(F22,G22,H22))</f>
        <v xml:space="preserve"> Convert.ToInt32(MySqlDR["Dis_Id"])</v>
      </c>
      <c r="D22" s="23" t="s">
        <v>73</v>
      </c>
      <c r="E22" s="26" t="str">
        <f>LOOKUP(LISTAR!A22,AJUSTE!B:B,AJUSTE!F:F)</f>
        <v xml:space="preserve"> Convert.ToInt32(???)</v>
      </c>
      <c r="F22" s="30" t="s">
        <v>99</v>
      </c>
      <c r="G22" s="26" t="str">
        <f t="shared" ref="G22" si="6">C21</f>
        <v>Dis_Id</v>
      </c>
      <c r="H22" s="32" t="s">
        <v>100</v>
      </c>
      <c r="K22" s="38">
        <f t="shared" si="1"/>
        <v>1</v>
      </c>
      <c r="L22" s="9" t="str">
        <f>IF(H21,CONCATENATE("                            ",B22,C22,D22),"")</f>
        <v xml:space="preserve">                             _distribuicao.Dis_Id =  Convert.ToInt32(MySqlDR["Dis_Id"]);</v>
      </c>
    </row>
    <row r="23" spans="1:12">
      <c r="A23" s="24">
        <v>2</v>
      </c>
      <c r="B23" s="21" t="s">
        <v>94</v>
      </c>
      <c r="C23" s="25" t="str">
        <f>LOOKUP(A23,INICIO!A$10:A$109,INICIO!K$10:K$109)</f>
        <v>Dis_DataDefinida</v>
      </c>
      <c r="D23" s="22" t="s">
        <v>95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(MySqlDR["Dis_DataDefinida"] != DBNull.Value)</v>
      </c>
    </row>
    <row r="24" spans="1:12">
      <c r="A24" s="28">
        <f>LOOKUP(A23,INICIO!A$10:A$109,INICIO!C$10:C$109)</f>
        <v>6</v>
      </c>
      <c r="B24" s="31" t="str">
        <f t="shared" si="4"/>
        <v xml:space="preserve"> _distribuicao.Dis_DataDefinida = </v>
      </c>
      <c r="C24" s="23" t="str">
        <f t="shared" ref="C24" si="8">SUBSTITUTE(E24,"???",CONCATENATE(F24,G24,H24))</f>
        <v>Convert.ToDateTime(MySqlDR["Dis_DataDefinida"])</v>
      </c>
      <c r="D24" s="23" t="s">
        <v>73</v>
      </c>
      <c r="E24" s="26" t="str">
        <f>LOOKUP(LISTAR!A24,AJUSTE!B:B,AJUSTE!F:F)</f>
        <v>Convert.ToDateTime(???)</v>
      </c>
      <c r="F24" s="30" t="s">
        <v>99</v>
      </c>
      <c r="G24" s="26" t="str">
        <f t="shared" ref="G24" si="9">C23</f>
        <v>Dis_DataDefinida</v>
      </c>
      <c r="H24" s="32" t="s">
        <v>100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_distribuicao.Dis_DataDefinida = Convert.ToDateTime(MySqlDR["Dis_DataDefinida"]);</v>
      </c>
    </row>
    <row r="25" spans="1:12">
      <c r="A25" s="24">
        <v>3</v>
      </c>
      <c r="B25" s="21" t="s">
        <v>94</v>
      </c>
      <c r="C25" s="25" t="str">
        <f>LOOKUP(A25,INICIO!A$10:A$109,INICIO!K$10:K$109)</f>
        <v>Dis_DataGravacao</v>
      </c>
      <c r="D25" s="22" t="s">
        <v>95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(MySqlDR["Dis_DataGravacao"] != DBNull.Value)</v>
      </c>
    </row>
    <row r="26" spans="1:12">
      <c r="A26" s="28">
        <f>LOOKUP(A25,INICIO!A$10:A$109,INICIO!C$10:C$109)</f>
        <v>6</v>
      </c>
      <c r="B26" s="31" t="str">
        <f t="shared" si="4"/>
        <v xml:space="preserve"> _distribuicao.Dis_DataGravacao = </v>
      </c>
      <c r="C26" s="23" t="str">
        <f t="shared" ref="C26" si="12">SUBSTITUTE(E26,"???",CONCATENATE(F26,G26,H26))</f>
        <v>Convert.ToDateTime(MySqlDR["Dis_DataGravacao"])</v>
      </c>
      <c r="D26" s="23" t="s">
        <v>73</v>
      </c>
      <c r="E26" s="26" t="str">
        <f>LOOKUP(LISTAR!A26,AJUSTE!B:B,AJUSTE!F:F)</f>
        <v>Convert.ToDateTime(???)</v>
      </c>
      <c r="F26" s="30" t="s">
        <v>99</v>
      </c>
      <c r="G26" s="26" t="str">
        <f t="shared" ref="G26" si="13">C25</f>
        <v>Dis_DataGravacao</v>
      </c>
      <c r="H26" s="32" t="s">
        <v>100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_distribuicao.Dis_DataGravacao = Convert.ToDateTime(MySqlDR["Dis_DataGravacao"]);</v>
      </c>
    </row>
    <row r="27" spans="1:12">
      <c r="A27" s="24">
        <v>4</v>
      </c>
      <c r="B27" s="21" t="s">
        <v>94</v>
      </c>
      <c r="C27" s="25" t="str">
        <f>LOOKUP(A27,INICIO!A$10:A$109,INICIO!K$10:K$109)</f>
        <v>Dis_Total</v>
      </c>
      <c r="D27" s="22" t="s">
        <v>95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(MySqlDR["Dis_Total"] != DBNull.Value)</v>
      </c>
    </row>
    <row r="28" spans="1:12">
      <c r="A28" s="28">
        <f>LOOKUP(A27,INICIO!A$10:A$109,INICIO!C$10:C$109)</f>
        <v>3</v>
      </c>
      <c r="B28" s="31" t="str">
        <f t="shared" si="4"/>
        <v xml:space="preserve"> _distribuicao.Dis_Total = </v>
      </c>
      <c r="C28" s="23" t="str">
        <f t="shared" ref="C28" si="16">SUBSTITUTE(E28,"???",CONCATENATE(F28,G28,H28))</f>
        <v>Convert.ToDecimal(MySqlDR["Dis_Total"])</v>
      </c>
      <c r="D28" s="23" t="s">
        <v>73</v>
      </c>
      <c r="E28" s="26" t="str">
        <f>LOOKUP(LISTAR!A28,AJUSTE!B:B,AJUSTE!F:F)</f>
        <v>Convert.ToDecimal(???)</v>
      </c>
      <c r="F28" s="30" t="s">
        <v>99</v>
      </c>
      <c r="G28" s="26" t="str">
        <f t="shared" ref="G28" si="17">C27</f>
        <v>Dis_Total</v>
      </c>
      <c r="H28" s="32" t="s">
        <v>100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_distribuicao.Dis_Total = Convert.ToDecimal(MySqlDR["Dis_Total"]);</v>
      </c>
    </row>
    <row r="29" spans="1:12">
      <c r="A29" s="24">
        <v>5</v>
      </c>
      <c r="B29" s="21" t="s">
        <v>94</v>
      </c>
      <c r="C29" s="25" t="str">
        <f>LOOKUP(A29,INICIO!A$10:A$109,INICIO!K$10:K$109)</f>
        <v>Dis_Operador</v>
      </c>
      <c r="D29" s="22" t="s">
        <v>95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(MySqlDR["Dis_Operador"] != DBNull.Value)</v>
      </c>
    </row>
    <row r="30" spans="1:12">
      <c r="A30" s="28">
        <f>LOOKUP(A29,INICIO!A$10:A$109,INICIO!C$10:C$109)</f>
        <v>2</v>
      </c>
      <c r="B30" s="31" t="str">
        <f t="shared" si="4"/>
        <v xml:space="preserve"> _distribuicao.Dis_Operador = </v>
      </c>
      <c r="C30" s="23" t="str">
        <f t="shared" ref="C30" si="20">SUBSTITUTE(E30,"???",CONCATENATE(F30,G30,H30))</f>
        <v xml:space="preserve"> Convert.ToInt32(MySqlDR["Dis_Operador"])</v>
      </c>
      <c r="D30" s="23" t="s">
        <v>73</v>
      </c>
      <c r="E30" s="26" t="str">
        <f>LOOKUP(LISTAR!A30,AJUSTE!B:B,AJUSTE!F:F)</f>
        <v xml:space="preserve"> Convert.ToInt32(???)</v>
      </c>
      <c r="F30" s="30" t="s">
        <v>99</v>
      </c>
      <c r="G30" s="26" t="str">
        <f t="shared" ref="G30" si="21">C29</f>
        <v>Dis_Operador</v>
      </c>
      <c r="H30" s="32" t="s">
        <v>100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_distribuicao.Dis_Operador =  Convert.ToInt32(MySqlDR["Dis_Operador"]);</v>
      </c>
    </row>
    <row r="31" spans="1:12" hidden="1">
      <c r="A31" s="24">
        <v>6</v>
      </c>
      <c r="B31" s="21" t="s">
        <v>94</v>
      </c>
      <c r="C31" s="25" t="str">
        <f>LOOKUP(A31,INICIO!A$10:A$109,INICIO!K$10:K$109)</f>
        <v/>
      </c>
      <c r="D31" s="22" t="s">
        <v>95</v>
      </c>
      <c r="E31" s="22"/>
      <c r="F31" s="22"/>
      <c r="G31" s="22"/>
      <c r="H31" s="34">
        <f>LOOKUP(A31,INICIO!A$10:A$109,INICIO!J$10:J$109)</f>
        <v>0</v>
      </c>
      <c r="K31" s="38">
        <f t="shared" si="1"/>
        <v>0</v>
      </c>
      <c r="L31" s="9" t="str">
        <f t="shared" ref="L31" si="23">IF(H31,CONCATENATE("                        ",B31,C31,D31),"")</f>
        <v/>
      </c>
    </row>
    <row r="32" spans="1:12" hidden="1">
      <c r="A32" s="28">
        <f>LOOKUP(A31,INICIO!A$10:A$109,INICIO!C$10:C$109)</f>
        <v>30</v>
      </c>
      <c r="B32" s="31" t="str">
        <f t="shared" si="4"/>
        <v xml:space="preserve"> _distribuicao. = </v>
      </c>
      <c r="C32" s="23" t="str">
        <f t="shared" ref="C32" si="24">SUBSTITUTE(E32,"???",CONCATENATE(F32,G32,H32))</f>
        <v>0</v>
      </c>
      <c r="D32" s="23" t="s">
        <v>73</v>
      </c>
      <c r="E32" s="26">
        <f>LOOKUP(LISTAR!A32,AJUSTE!B:B,AJUSTE!F:F)</f>
        <v>0</v>
      </c>
      <c r="F32" s="30" t="s">
        <v>99</v>
      </c>
      <c r="G32" s="26" t="str">
        <f t="shared" ref="G32" si="25">C31</f>
        <v/>
      </c>
      <c r="H32" s="32" t="s">
        <v>100</v>
      </c>
      <c r="K32" s="38">
        <f t="shared" si="1"/>
        <v>0</v>
      </c>
      <c r="L32" s="9" t="str">
        <f t="shared" ref="L32" si="26">IF(H31,CONCATENATE("                            ",B32,C32,D32),"")</f>
        <v/>
      </c>
    </row>
    <row r="33" spans="1:12" hidden="1">
      <c r="A33" s="24">
        <v>7</v>
      </c>
      <c r="B33" s="21" t="s">
        <v>94</v>
      </c>
      <c r="C33" s="25" t="str">
        <f>LOOKUP(A33,INICIO!A$10:A$109,INICIO!K$10:K$109)</f>
        <v/>
      </c>
      <c r="D33" s="22" t="s">
        <v>95</v>
      </c>
      <c r="E33" s="22"/>
      <c r="F33" s="22"/>
      <c r="G33" s="22"/>
      <c r="H33" s="34">
        <f>LOOKUP(A33,INICIO!A$10:A$109,INICIO!J$10:J$109)</f>
        <v>0</v>
      </c>
      <c r="K33" s="38">
        <f t="shared" si="1"/>
        <v>0</v>
      </c>
      <c r="L33" s="9" t="str">
        <f t="shared" ref="L33" si="27">IF(H33,CONCATENATE("                        ",B33,C33,D33),"")</f>
        <v/>
      </c>
    </row>
    <row r="34" spans="1:12" hidden="1">
      <c r="A34" s="28">
        <f>LOOKUP(A33,INICIO!A$10:A$109,INICIO!C$10:C$109)</f>
        <v>30</v>
      </c>
      <c r="B34" s="31" t="str">
        <f t="shared" si="4"/>
        <v xml:space="preserve"> _distribuicao. = </v>
      </c>
      <c r="C34" s="23" t="str">
        <f t="shared" ref="C34" si="28">SUBSTITUTE(E34,"???",CONCATENATE(F34,G34,H34))</f>
        <v>0</v>
      </c>
      <c r="D34" s="23" t="s">
        <v>73</v>
      </c>
      <c r="E34" s="26">
        <f>LOOKUP(LISTAR!A34,AJUSTE!B:B,AJUSTE!F:F)</f>
        <v>0</v>
      </c>
      <c r="F34" s="30" t="s">
        <v>99</v>
      </c>
      <c r="G34" s="26" t="str">
        <f t="shared" ref="G34" si="29">C33</f>
        <v/>
      </c>
      <c r="H34" s="32" t="s">
        <v>100</v>
      </c>
      <c r="K34" s="38">
        <f t="shared" si="1"/>
        <v>0</v>
      </c>
      <c r="L34" s="9" t="str">
        <f t="shared" ref="L34" si="30">IF(H33,CONCATENATE("                            ",B34,C34,D34),"")</f>
        <v/>
      </c>
    </row>
    <row r="35" spans="1:12" hidden="1">
      <c r="A35" s="24">
        <v>8</v>
      </c>
      <c r="B35" s="21" t="s">
        <v>94</v>
      </c>
      <c r="C35" s="25" t="str">
        <f>LOOKUP(A35,INICIO!A$10:A$109,INICIO!K$10:K$109)</f>
        <v/>
      </c>
      <c r="D35" s="22" t="s">
        <v>95</v>
      </c>
      <c r="E35" s="22"/>
      <c r="F35" s="22"/>
      <c r="G35" s="22"/>
      <c r="H35" s="34">
        <f>LOOKUP(A35,INICIO!A$10:A$109,INICIO!J$10:J$109)</f>
        <v>0</v>
      </c>
      <c r="K35" s="38">
        <f t="shared" si="1"/>
        <v>0</v>
      </c>
      <c r="L35" s="9" t="str">
        <f t="shared" ref="L35" si="31">IF(H35,CONCATENATE("                        ",B35,C35,D35),"")</f>
        <v/>
      </c>
    </row>
    <row r="36" spans="1:12" hidden="1">
      <c r="A36" s="28">
        <f>LOOKUP(A35,INICIO!A$10:A$109,INICIO!C$10:C$109)</f>
        <v>30</v>
      </c>
      <c r="B36" s="31" t="str">
        <f t="shared" si="4"/>
        <v xml:space="preserve"> _distribuicao. = </v>
      </c>
      <c r="C36" s="23" t="str">
        <f t="shared" ref="C36" si="32">SUBSTITUTE(E36,"???",CONCATENATE(F36,G36,H36))</f>
        <v>0</v>
      </c>
      <c r="D36" s="23" t="s">
        <v>73</v>
      </c>
      <c r="E36" s="26">
        <f>LOOKUP(LISTAR!A36,AJUSTE!B:B,AJUSTE!F:F)</f>
        <v>0</v>
      </c>
      <c r="F36" s="30" t="s">
        <v>99</v>
      </c>
      <c r="G36" s="26" t="str">
        <f t="shared" ref="G36" si="33">C35</f>
        <v/>
      </c>
      <c r="H36" s="32" t="s">
        <v>100</v>
      </c>
      <c r="K36" s="38">
        <f t="shared" si="1"/>
        <v>0</v>
      </c>
      <c r="L36" s="9" t="str">
        <f t="shared" ref="L36" si="34">IF(H35,CONCATENATE("                            ",B36,C36,D36),"")</f>
        <v/>
      </c>
    </row>
    <row r="37" spans="1:12" hidden="1">
      <c r="A37" s="24">
        <v>9</v>
      </c>
      <c r="B37" s="21" t="s">
        <v>94</v>
      </c>
      <c r="C37" s="25" t="str">
        <f>LOOKUP(A37,INICIO!A$10:A$109,INICIO!K$10:K$109)</f>
        <v/>
      </c>
      <c r="D37" s="22" t="s">
        <v>95</v>
      </c>
      <c r="E37" s="22"/>
      <c r="F37" s="22"/>
      <c r="G37" s="22"/>
      <c r="H37" s="34">
        <f>LOOKUP(A37,INICIO!A$10:A$109,INICIO!J$10:J$109)</f>
        <v>0</v>
      </c>
      <c r="K37" s="38">
        <f t="shared" si="1"/>
        <v>0</v>
      </c>
      <c r="L37" s="9" t="str">
        <f t="shared" ref="L37" si="35">IF(H37,CONCATENATE("                        ",B37,C37,D37),"")</f>
        <v/>
      </c>
    </row>
    <row r="38" spans="1:12" hidden="1">
      <c r="A38" s="28">
        <f>LOOKUP(A37,INICIO!A$10:A$109,INICIO!C$10:C$109)</f>
        <v>30</v>
      </c>
      <c r="B38" s="31" t="str">
        <f t="shared" si="4"/>
        <v xml:space="preserve"> _distribuicao. = </v>
      </c>
      <c r="C38" s="23" t="str">
        <f t="shared" ref="C38" si="36">SUBSTITUTE(E38,"???",CONCATENATE(F38,G38,H38))</f>
        <v>0</v>
      </c>
      <c r="D38" s="23" t="s">
        <v>73</v>
      </c>
      <c r="E38" s="26">
        <f>LOOKUP(LISTAR!A38,AJUSTE!B:B,AJUSTE!F:F)</f>
        <v>0</v>
      </c>
      <c r="F38" s="30" t="s">
        <v>99</v>
      </c>
      <c r="G38" s="26" t="str">
        <f t="shared" ref="G38" si="37">C37</f>
        <v/>
      </c>
      <c r="H38" s="32" t="s">
        <v>100</v>
      </c>
      <c r="K38" s="38">
        <f t="shared" si="1"/>
        <v>0</v>
      </c>
      <c r="L38" s="9" t="str">
        <f t="shared" ref="L38" si="38">IF(H37,CONCATENATE("                            ",B38,C38,D38),"")</f>
        <v/>
      </c>
    </row>
    <row r="39" spans="1:12" hidden="1">
      <c r="A39" s="24">
        <v>10</v>
      </c>
      <c r="B39" s="21" t="s">
        <v>94</v>
      </c>
      <c r="C39" s="25" t="str">
        <f>LOOKUP(A39,INICIO!A$10:A$109,INICIO!K$10:K$109)</f>
        <v/>
      </c>
      <c r="D39" s="22" t="s">
        <v>95</v>
      </c>
      <c r="E39" s="22"/>
      <c r="F39" s="22"/>
      <c r="G39" s="22"/>
      <c r="H39" s="34">
        <f>LOOKUP(A39,INICIO!A$10:A$109,INICIO!J$10:J$109)</f>
        <v>0</v>
      </c>
      <c r="K39" s="38">
        <f t="shared" si="1"/>
        <v>0</v>
      </c>
      <c r="L39" s="9" t="str">
        <f t="shared" ref="L39" si="39">IF(H39,CONCATENATE("                        ",B39,C39,D39),"")</f>
        <v/>
      </c>
    </row>
    <row r="40" spans="1:12" hidden="1">
      <c r="A40" s="28">
        <f>LOOKUP(A39,INICIO!A$10:A$109,INICIO!C$10:C$109)</f>
        <v>30</v>
      </c>
      <c r="B40" s="31" t="str">
        <f t="shared" si="4"/>
        <v xml:space="preserve"> _distribuicao. = </v>
      </c>
      <c r="C40" s="23" t="str">
        <f t="shared" ref="C40" si="40">SUBSTITUTE(E40,"???",CONCATENATE(F40,G40,H40))</f>
        <v>0</v>
      </c>
      <c r="D40" s="23" t="s">
        <v>73</v>
      </c>
      <c r="E40" s="26">
        <f>LOOKUP(LISTAR!A40,AJUSTE!B:B,AJUSTE!F:F)</f>
        <v>0</v>
      </c>
      <c r="F40" s="30" t="s">
        <v>99</v>
      </c>
      <c r="G40" s="26" t="str">
        <f t="shared" ref="G40" si="41">C39</f>
        <v/>
      </c>
      <c r="H40" s="32" t="s">
        <v>100</v>
      </c>
      <c r="K40" s="38">
        <f t="shared" si="1"/>
        <v>0</v>
      </c>
      <c r="L40" s="9" t="str">
        <f t="shared" ref="L40" si="42">IF(H39,CONCATENATE("                            ",B40,C40,D40),"")</f>
        <v/>
      </c>
    </row>
    <row r="41" spans="1:12" hidden="1">
      <c r="A41" s="24">
        <v>11</v>
      </c>
      <c r="B41" s="21" t="s">
        <v>94</v>
      </c>
      <c r="C41" s="25" t="str">
        <f>LOOKUP(A41,INICIO!A$10:A$109,INICIO!K$10:K$109)</f>
        <v/>
      </c>
      <c r="D41" s="22" t="s">
        <v>95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43">IF(H41,CONCATENATE("                        ",B41,C41,D41),"")</f>
        <v/>
      </c>
    </row>
    <row r="42" spans="1:12" hidden="1">
      <c r="A42" s="28">
        <f>LOOKUP(A41,INICIO!A$10:A$109,INICIO!C$10:C$109)</f>
        <v>30</v>
      </c>
      <c r="B42" s="31" t="str">
        <f t="shared" si="4"/>
        <v xml:space="preserve"> _distribuicao. = </v>
      </c>
      <c r="C42" s="23" t="str">
        <f t="shared" ref="C42" si="44">SUBSTITUTE(E42,"???",CONCATENATE(F42,G42,H42))</f>
        <v>0</v>
      </c>
      <c r="D42" s="23" t="s">
        <v>73</v>
      </c>
      <c r="E42" s="26">
        <f>LOOKUP(LISTAR!A42,AJUSTE!B:B,AJUSTE!F:F)</f>
        <v>0</v>
      </c>
      <c r="F42" s="30" t="s">
        <v>99</v>
      </c>
      <c r="G42" s="26" t="str">
        <f t="shared" ref="G42" si="45">C41</f>
        <v/>
      </c>
      <c r="H42" s="32" t="s">
        <v>100</v>
      </c>
      <c r="K42" s="38">
        <f t="shared" si="1"/>
        <v>0</v>
      </c>
      <c r="L42" s="9" t="str">
        <f t="shared" ref="L42" si="46">IF(H41,CONCATENATE("                            ",B42,C42,D42),"")</f>
        <v/>
      </c>
    </row>
    <row r="43" spans="1:12" hidden="1">
      <c r="A43" s="24">
        <v>12</v>
      </c>
      <c r="B43" s="21" t="s">
        <v>94</v>
      </c>
      <c r="C43" s="25" t="str">
        <f>LOOKUP(A43,INICIO!A$10:A$109,INICIO!K$10:K$109)</f>
        <v/>
      </c>
      <c r="D43" s="22" t="s">
        <v>95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47">IF(H43,CONCATENATE("                        ",B43,C43,D43),"")</f>
        <v/>
      </c>
    </row>
    <row r="44" spans="1:12" hidden="1">
      <c r="A44" s="28">
        <f>LOOKUP(A43,INICIO!A$10:A$109,INICIO!C$10:C$109)</f>
        <v>30</v>
      </c>
      <c r="B44" s="31" t="str">
        <f t="shared" si="4"/>
        <v xml:space="preserve"> _distribuicao. = </v>
      </c>
      <c r="C44" s="23" t="str">
        <f t="shared" ref="C44" si="48">SUBSTITUTE(E44,"???",CONCATENATE(F44,G44,H44))</f>
        <v>0</v>
      </c>
      <c r="D44" s="23" t="s">
        <v>73</v>
      </c>
      <c r="E44" s="26">
        <f>LOOKUP(LISTAR!A44,AJUSTE!B:B,AJUSTE!F:F)</f>
        <v>0</v>
      </c>
      <c r="F44" s="30" t="s">
        <v>99</v>
      </c>
      <c r="G44" s="26" t="str">
        <f t="shared" ref="G44" si="49">C43</f>
        <v/>
      </c>
      <c r="H44" s="32" t="s">
        <v>100</v>
      </c>
      <c r="K44" s="38">
        <f t="shared" si="1"/>
        <v>0</v>
      </c>
      <c r="L44" s="9" t="str">
        <f t="shared" ref="L44" si="50">IF(H43,CONCATENATE("                            ",B44,C44,D44),"")</f>
        <v/>
      </c>
    </row>
    <row r="45" spans="1:12" hidden="1">
      <c r="A45" s="24">
        <v>13</v>
      </c>
      <c r="B45" s="21" t="s">
        <v>94</v>
      </c>
      <c r="C45" s="25" t="str">
        <f>LOOKUP(A45,INICIO!A$10:A$109,INICIO!K$10:K$109)</f>
        <v/>
      </c>
      <c r="D45" s="22" t="s">
        <v>95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51">IF(H45,CONCATENATE("                        ",B45,C45,D45),"")</f>
        <v/>
      </c>
    </row>
    <row r="46" spans="1:12" hidden="1">
      <c r="A46" s="28">
        <f>LOOKUP(A45,INICIO!A$10:A$109,INICIO!C$10:C$109)</f>
        <v>30</v>
      </c>
      <c r="B46" s="31" t="str">
        <f t="shared" si="4"/>
        <v xml:space="preserve"> _distribuicao. = </v>
      </c>
      <c r="C46" s="23" t="str">
        <f t="shared" ref="C46" si="52">SUBSTITUTE(E46,"???",CONCATENATE(F46,G46,H46))</f>
        <v>0</v>
      </c>
      <c r="D46" s="23" t="s">
        <v>73</v>
      </c>
      <c r="E46" s="26">
        <f>LOOKUP(LISTAR!A46,AJUSTE!B:B,AJUSTE!F:F)</f>
        <v>0</v>
      </c>
      <c r="F46" s="30" t="s">
        <v>99</v>
      </c>
      <c r="G46" s="26" t="str">
        <f t="shared" ref="G46" si="53">C45</f>
        <v/>
      </c>
      <c r="H46" s="32" t="s">
        <v>100</v>
      </c>
      <c r="K46" s="38">
        <f t="shared" si="1"/>
        <v>0</v>
      </c>
      <c r="L46" s="9" t="str">
        <f t="shared" ref="L46" si="54">IF(H45,CONCATENATE("                            ",B46,C46,D46),"")</f>
        <v/>
      </c>
    </row>
    <row r="47" spans="1:12" hidden="1">
      <c r="A47" s="24">
        <v>14</v>
      </c>
      <c r="B47" s="21" t="s">
        <v>94</v>
      </c>
      <c r="C47" s="25" t="str">
        <f>LOOKUP(A47,INICIO!A$10:A$109,INICIO!K$10:K$109)</f>
        <v/>
      </c>
      <c r="D47" s="22" t="s">
        <v>95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55">IF(H47,CONCATENATE("                        ",B47,C47,D47),"")</f>
        <v/>
      </c>
    </row>
    <row r="48" spans="1:12" hidden="1">
      <c r="A48" s="28">
        <f>LOOKUP(A47,INICIO!A$10:A$109,INICIO!C$10:C$109)</f>
        <v>30</v>
      </c>
      <c r="B48" s="31" t="str">
        <f t="shared" si="4"/>
        <v xml:space="preserve"> _distribuicao. = </v>
      </c>
      <c r="C48" s="23" t="str">
        <f t="shared" ref="C48" si="56">SUBSTITUTE(E48,"???",CONCATENATE(F48,G48,H48))</f>
        <v>0</v>
      </c>
      <c r="D48" s="23" t="s">
        <v>73</v>
      </c>
      <c r="E48" s="26">
        <f>LOOKUP(LISTAR!A48,AJUSTE!B:B,AJUSTE!F:F)</f>
        <v>0</v>
      </c>
      <c r="F48" s="30" t="s">
        <v>99</v>
      </c>
      <c r="G48" s="26" t="str">
        <f t="shared" ref="G48" si="57">C47</f>
        <v/>
      </c>
      <c r="H48" s="32" t="s">
        <v>100</v>
      </c>
      <c r="K48" s="38">
        <f t="shared" si="1"/>
        <v>0</v>
      </c>
      <c r="L48" s="9" t="str">
        <f t="shared" ref="L48" si="58">IF(H47,CONCATENATE("                            ",B48,C48,D48),"")</f>
        <v/>
      </c>
    </row>
    <row r="49" spans="1:12" hidden="1">
      <c r="A49" s="24">
        <v>15</v>
      </c>
      <c r="B49" s="21" t="s">
        <v>94</v>
      </c>
      <c r="C49" s="25" t="str">
        <f>LOOKUP(A49,INICIO!A$10:A$109,INICIO!K$10:K$109)</f>
        <v/>
      </c>
      <c r="D49" s="22" t="s">
        <v>95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59">IF(H49,CONCATENATE("                        ",B49,C49,D49),"")</f>
        <v/>
      </c>
    </row>
    <row r="50" spans="1:12" hidden="1">
      <c r="A50" s="28">
        <f>LOOKUP(A49,INICIO!A$10:A$109,INICIO!C$10:C$109)</f>
        <v>30</v>
      </c>
      <c r="B50" s="31" t="str">
        <f t="shared" si="4"/>
        <v xml:space="preserve"> _distribuicao. = </v>
      </c>
      <c r="C50" s="23" t="str">
        <f t="shared" ref="C50" si="60">SUBSTITUTE(E50,"???",CONCATENATE(F50,G50,H50))</f>
        <v>0</v>
      </c>
      <c r="D50" s="23" t="s">
        <v>73</v>
      </c>
      <c r="E50" s="26">
        <f>LOOKUP(LISTAR!A50,AJUSTE!B:B,AJUSTE!F:F)</f>
        <v>0</v>
      </c>
      <c r="F50" s="30" t="s">
        <v>99</v>
      </c>
      <c r="G50" s="26" t="str">
        <f t="shared" ref="G50" si="61">C49</f>
        <v/>
      </c>
      <c r="H50" s="32" t="s">
        <v>100</v>
      </c>
      <c r="K50" s="38">
        <f t="shared" si="1"/>
        <v>0</v>
      </c>
      <c r="L50" s="9" t="str">
        <f t="shared" ref="L50" si="62">IF(H49,CONCATENATE("                            ",B50,C50,D50),"")</f>
        <v/>
      </c>
    </row>
    <row r="51" spans="1:12" hidden="1">
      <c r="A51" s="24">
        <v>16</v>
      </c>
      <c r="B51" s="21" t="s">
        <v>94</v>
      </c>
      <c r="C51" s="25" t="str">
        <f>LOOKUP(A51,INICIO!A$10:A$109,INICIO!K$10:K$109)</f>
        <v/>
      </c>
      <c r="D51" s="22" t="s">
        <v>95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63">IF(H51,CONCATENATE("                        ",B51,C51,D51),"")</f>
        <v/>
      </c>
    </row>
    <row r="52" spans="1:12" hidden="1">
      <c r="A52" s="28">
        <f>LOOKUP(A51,INICIO!A$10:A$109,INICIO!C$10:C$109)</f>
        <v>30</v>
      </c>
      <c r="B52" s="31" t="str">
        <f t="shared" si="4"/>
        <v xml:space="preserve"> _distribuicao. = </v>
      </c>
      <c r="C52" s="23" t="str">
        <f t="shared" ref="C52" si="64">SUBSTITUTE(E52,"???",CONCATENATE(F52,G52,H52))</f>
        <v>0</v>
      </c>
      <c r="D52" s="23" t="s">
        <v>73</v>
      </c>
      <c r="E52" s="26">
        <f>LOOKUP(LISTAR!A52,AJUSTE!B:B,AJUSTE!F:F)</f>
        <v>0</v>
      </c>
      <c r="F52" s="30" t="s">
        <v>99</v>
      </c>
      <c r="G52" s="26" t="str">
        <f t="shared" ref="G52" si="65">C51</f>
        <v/>
      </c>
      <c r="H52" s="32" t="s">
        <v>100</v>
      </c>
      <c r="K52" s="38">
        <f t="shared" si="1"/>
        <v>0</v>
      </c>
      <c r="L52" s="9" t="str">
        <f t="shared" ref="L52" si="66">IF(H51,CONCATENATE("                            ",B52,C52,D52),"")</f>
        <v/>
      </c>
    </row>
    <row r="53" spans="1:12" hidden="1">
      <c r="A53" s="24">
        <v>17</v>
      </c>
      <c r="B53" s="21" t="s">
        <v>94</v>
      </c>
      <c r="C53" s="25" t="str">
        <f>LOOKUP(A53,INICIO!A$10:A$109,INICIO!K$10:K$109)</f>
        <v/>
      </c>
      <c r="D53" s="22" t="s">
        <v>95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67">IF(H53,CONCATENATE("                        ",B53,C53,D53),"")</f>
        <v/>
      </c>
    </row>
    <row r="54" spans="1:12" hidden="1">
      <c r="A54" s="28">
        <f>LOOKUP(A53,INICIO!A$10:A$109,INICIO!C$10:C$109)</f>
        <v>30</v>
      </c>
      <c r="B54" s="31" t="str">
        <f t="shared" si="4"/>
        <v xml:space="preserve"> _distribuicao. = </v>
      </c>
      <c r="C54" s="23" t="str">
        <f t="shared" ref="C54" si="68">SUBSTITUTE(E54,"???",CONCATENATE(F54,G54,H54))</f>
        <v>0</v>
      </c>
      <c r="D54" s="23" t="s">
        <v>73</v>
      </c>
      <c r="E54" s="26">
        <f>LOOKUP(LISTAR!A54,AJUSTE!B:B,AJUSTE!F:F)</f>
        <v>0</v>
      </c>
      <c r="F54" s="30" t="s">
        <v>99</v>
      </c>
      <c r="G54" s="26" t="str">
        <f t="shared" ref="G54" si="69">C53</f>
        <v/>
      </c>
      <c r="H54" s="32" t="s">
        <v>100</v>
      </c>
      <c r="K54" s="38">
        <f t="shared" si="1"/>
        <v>0</v>
      </c>
      <c r="L54" s="9" t="str">
        <f t="shared" ref="L54" si="70">IF(H53,CONCATENATE("                            ",B54,C54,D54),"")</f>
        <v/>
      </c>
    </row>
    <row r="55" spans="1:12" hidden="1">
      <c r="A55" s="24">
        <v>18</v>
      </c>
      <c r="B55" s="21" t="s">
        <v>94</v>
      </c>
      <c r="C55" s="25" t="str">
        <f>LOOKUP(A55,INICIO!A$10:A$109,INICIO!K$10:K$109)</f>
        <v/>
      </c>
      <c r="D55" s="22" t="s">
        <v>95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71">IF(H55,CONCATENATE("                        ",B55,C55,D55),"")</f>
        <v/>
      </c>
    </row>
    <row r="56" spans="1:12" hidden="1">
      <c r="A56" s="28">
        <f>LOOKUP(A55,INICIO!A$10:A$109,INICIO!C$10:C$109)</f>
        <v>30</v>
      </c>
      <c r="B56" s="31" t="str">
        <f t="shared" si="4"/>
        <v xml:space="preserve"> _distribuicao. = </v>
      </c>
      <c r="C56" s="23" t="str">
        <f t="shared" ref="C56" si="72">SUBSTITUTE(E56,"???",CONCATENATE(F56,G56,H56))</f>
        <v>0</v>
      </c>
      <c r="D56" s="23" t="s">
        <v>73</v>
      </c>
      <c r="E56" s="26">
        <f>LOOKUP(LISTAR!A56,AJUSTE!B:B,AJUSTE!F:F)</f>
        <v>0</v>
      </c>
      <c r="F56" s="30" t="s">
        <v>99</v>
      </c>
      <c r="G56" s="26" t="str">
        <f t="shared" ref="G56" si="73">C55</f>
        <v/>
      </c>
      <c r="H56" s="32" t="s">
        <v>100</v>
      </c>
      <c r="K56" s="38">
        <f t="shared" si="1"/>
        <v>0</v>
      </c>
      <c r="L56" s="9" t="str">
        <f t="shared" ref="L56" si="74">IF(H55,CONCATENATE("                            ",B56,C56,D56),"")</f>
        <v/>
      </c>
    </row>
    <row r="57" spans="1:12" hidden="1">
      <c r="A57" s="24">
        <v>19</v>
      </c>
      <c r="B57" s="21" t="s">
        <v>94</v>
      </c>
      <c r="C57" s="25" t="str">
        <f>LOOKUP(A57,INICIO!A$10:A$109,INICIO!K$10:K$109)</f>
        <v/>
      </c>
      <c r="D57" s="22" t="s">
        <v>95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>
      <c r="A58" s="28">
        <f>LOOKUP(A57,INICIO!A$10:A$109,INICIO!C$10:C$109)</f>
        <v>30</v>
      </c>
      <c r="B58" s="31" t="str">
        <f t="shared" si="4"/>
        <v xml:space="preserve"> _distribuicao. = </v>
      </c>
      <c r="C58" s="23" t="str">
        <f t="shared" ref="C58" si="76">SUBSTITUTE(E58,"???",CONCATENATE(F58,G58,H58))</f>
        <v>0</v>
      </c>
      <c r="D58" s="23" t="s">
        <v>73</v>
      </c>
      <c r="E58" s="26">
        <f>LOOKUP(LISTAR!A58,AJUSTE!B:B,AJUSTE!F:F)</f>
        <v>0</v>
      </c>
      <c r="F58" s="30" t="s">
        <v>99</v>
      </c>
      <c r="G58" s="26" t="str">
        <f t="shared" ref="G58" si="77">C57</f>
        <v/>
      </c>
      <c r="H58" s="32" t="s">
        <v>100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>
      <c r="A59" s="24">
        <v>20</v>
      </c>
      <c r="B59" s="21" t="s">
        <v>94</v>
      </c>
      <c r="C59" s="25" t="str">
        <f>LOOKUP(A59,INICIO!A$10:A$109,INICIO!K$10:K$109)</f>
        <v/>
      </c>
      <c r="D59" s="22" t="s">
        <v>95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>
      <c r="A60" s="28">
        <f>LOOKUP(A59,INICIO!A$10:A$109,INICIO!C$10:C$109)</f>
        <v>30</v>
      </c>
      <c r="B60" s="31" t="str">
        <f t="shared" si="4"/>
        <v xml:space="preserve"> _distribuicao. = </v>
      </c>
      <c r="C60" s="23" t="str">
        <f t="shared" ref="C60" si="80">SUBSTITUTE(E60,"???",CONCATENATE(F60,G60,H60))</f>
        <v>0</v>
      </c>
      <c r="D60" s="23" t="s">
        <v>73</v>
      </c>
      <c r="E60" s="26">
        <f>LOOKUP(LISTAR!A60,AJUSTE!B:B,AJUSTE!F:F)</f>
        <v>0</v>
      </c>
      <c r="F60" s="30" t="s">
        <v>99</v>
      </c>
      <c r="G60" s="26" t="str">
        <f t="shared" ref="G60" si="81">C59</f>
        <v/>
      </c>
      <c r="H60" s="32" t="s">
        <v>100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>
      <c r="A61" s="24">
        <v>21</v>
      </c>
      <c r="B61" s="21" t="s">
        <v>94</v>
      </c>
      <c r="C61" s="25" t="str">
        <f>LOOKUP(A61,INICIO!A$10:A$109,INICIO!K$10:K$109)</f>
        <v/>
      </c>
      <c r="D61" s="22" t="s">
        <v>95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>
      <c r="A62" s="28">
        <f>LOOKUP(A61,INICIO!A$10:A$109,INICIO!C$10:C$109)</f>
        <v>30</v>
      </c>
      <c r="B62" s="31" t="str">
        <f t="shared" si="4"/>
        <v xml:space="preserve"> _distribuicao. = </v>
      </c>
      <c r="C62" s="23" t="str">
        <f t="shared" ref="C62" si="84">SUBSTITUTE(E62,"???",CONCATENATE(F62,G62,H62))</f>
        <v>0</v>
      </c>
      <c r="D62" s="23" t="s">
        <v>73</v>
      </c>
      <c r="E62" s="26">
        <f>LOOKUP(LISTAR!A62,AJUSTE!B:B,AJUSTE!F:F)</f>
        <v>0</v>
      </c>
      <c r="F62" s="30" t="s">
        <v>99</v>
      </c>
      <c r="G62" s="26" t="str">
        <f t="shared" ref="G62" si="85">C61</f>
        <v/>
      </c>
      <c r="H62" s="32" t="s">
        <v>100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>
      <c r="A63" s="24">
        <v>22</v>
      </c>
      <c r="B63" s="21" t="s">
        <v>94</v>
      </c>
      <c r="C63" s="25" t="str">
        <f>LOOKUP(A63,INICIO!A$10:A$109,INICIO!K$10:K$109)</f>
        <v/>
      </c>
      <c r="D63" s="22" t="s">
        <v>95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>
      <c r="A64" s="28">
        <f>LOOKUP(A63,INICIO!A$10:A$109,INICIO!C$10:C$109)</f>
        <v>30</v>
      </c>
      <c r="B64" s="31" t="str">
        <f t="shared" si="4"/>
        <v xml:space="preserve"> _distribuicao. = </v>
      </c>
      <c r="C64" s="23" t="str">
        <f t="shared" ref="C64" si="88">SUBSTITUTE(E64,"???",CONCATENATE(F64,G64,H64))</f>
        <v>0</v>
      </c>
      <c r="D64" s="23" t="s">
        <v>73</v>
      </c>
      <c r="E64" s="26">
        <f>LOOKUP(LISTAR!A64,AJUSTE!B:B,AJUSTE!F:F)</f>
        <v>0</v>
      </c>
      <c r="F64" s="30" t="s">
        <v>99</v>
      </c>
      <c r="G64" s="26" t="str">
        <f t="shared" ref="G64" si="89">C63</f>
        <v/>
      </c>
      <c r="H64" s="32" t="s">
        <v>100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>
      <c r="A65" s="24">
        <v>23</v>
      </c>
      <c r="B65" s="21" t="s">
        <v>94</v>
      </c>
      <c r="C65" s="25" t="str">
        <f>LOOKUP(A65,INICIO!A$10:A$109,INICIO!K$10:K$109)</f>
        <v/>
      </c>
      <c r="D65" s="22" t="s">
        <v>95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>
      <c r="A66" s="28">
        <f>LOOKUP(A65,INICIO!A$10:A$109,INICIO!C$10:C$109)</f>
        <v>30</v>
      </c>
      <c r="B66" s="31" t="str">
        <f t="shared" si="4"/>
        <v xml:space="preserve"> _distribuicao. = </v>
      </c>
      <c r="C66" s="23" t="str">
        <f t="shared" ref="C66" si="92">SUBSTITUTE(E66,"???",CONCATENATE(F66,G66,H66))</f>
        <v>0</v>
      </c>
      <c r="D66" s="23" t="s">
        <v>73</v>
      </c>
      <c r="E66" s="26">
        <f>LOOKUP(LISTAR!A66,AJUSTE!B:B,AJUSTE!F:F)</f>
        <v>0</v>
      </c>
      <c r="F66" s="30" t="s">
        <v>99</v>
      </c>
      <c r="G66" s="26" t="str">
        <f t="shared" ref="G66" si="93">C65</f>
        <v/>
      </c>
      <c r="H66" s="32" t="s">
        <v>100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>
      <c r="A67" s="24">
        <v>24</v>
      </c>
      <c r="B67" s="21" t="s">
        <v>94</v>
      </c>
      <c r="C67" s="25" t="str">
        <f>LOOKUP(A67,INICIO!A$10:A$109,INICIO!K$10:K$109)</f>
        <v/>
      </c>
      <c r="D67" s="22" t="s">
        <v>95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>
      <c r="A68" s="28">
        <f>LOOKUP(A67,INICIO!A$10:A$109,INICIO!C$10:C$109)</f>
        <v>30</v>
      </c>
      <c r="B68" s="31" t="str">
        <f t="shared" si="4"/>
        <v xml:space="preserve"> _distribuicao. = </v>
      </c>
      <c r="C68" s="23" t="str">
        <f t="shared" ref="C68" si="97">SUBSTITUTE(E68,"???",CONCATENATE(F68,G68,H68))</f>
        <v>0</v>
      </c>
      <c r="D68" s="23" t="s">
        <v>73</v>
      </c>
      <c r="E68" s="26">
        <f>LOOKUP(LISTAR!A68,AJUSTE!B:B,AJUSTE!F:F)</f>
        <v>0</v>
      </c>
      <c r="F68" s="30" t="s">
        <v>99</v>
      </c>
      <c r="G68" s="26" t="str">
        <f t="shared" ref="G68" si="98">C67</f>
        <v/>
      </c>
      <c r="H68" s="32" t="s">
        <v>100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>
      <c r="A69" s="24">
        <v>25</v>
      </c>
      <c r="B69" s="21" t="s">
        <v>94</v>
      </c>
      <c r="C69" s="25" t="str">
        <f>LOOKUP(A69,INICIO!A$10:A$109,INICIO!K$10:K$109)</f>
        <v/>
      </c>
      <c r="D69" s="22" t="s">
        <v>95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>
      <c r="A70" s="28">
        <f>LOOKUP(A69,INICIO!A$10:A$109,INICIO!C$10:C$109)</f>
        <v>30</v>
      </c>
      <c r="B70" s="31" t="str">
        <f t="shared" si="4"/>
        <v xml:space="preserve"> _distribuicao. = </v>
      </c>
      <c r="C70" s="23" t="str">
        <f t="shared" ref="C70" si="101">SUBSTITUTE(E70,"???",CONCATENATE(F70,G70,H70))</f>
        <v>0</v>
      </c>
      <c r="D70" s="23" t="s">
        <v>73</v>
      </c>
      <c r="E70" s="26">
        <f>LOOKUP(LISTAR!A70,AJUSTE!B:B,AJUSTE!F:F)</f>
        <v>0</v>
      </c>
      <c r="F70" s="30" t="s">
        <v>99</v>
      </c>
      <c r="G70" s="26" t="str">
        <f t="shared" ref="G70" si="102">C69</f>
        <v/>
      </c>
      <c r="H70" s="32" t="s">
        <v>100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>
      <c r="A71" s="24">
        <v>26</v>
      </c>
      <c r="B71" s="21" t="s">
        <v>94</v>
      </c>
      <c r="C71" s="25" t="str">
        <f>LOOKUP(A71,INICIO!A$10:A$109,INICIO!K$10:K$109)</f>
        <v/>
      </c>
      <c r="D71" s="22" t="s">
        <v>95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>
      <c r="A72" s="28">
        <f>LOOKUP(A71,INICIO!A$10:A$109,INICIO!C$10:C$109)</f>
        <v>30</v>
      </c>
      <c r="B72" s="31" t="str">
        <f t="shared" si="4"/>
        <v xml:space="preserve"> _distribuicao. = </v>
      </c>
      <c r="C72" s="23" t="str">
        <f t="shared" ref="C72" si="105">SUBSTITUTE(E72,"???",CONCATENATE(F72,G72,H72))</f>
        <v>0</v>
      </c>
      <c r="D72" s="23" t="s">
        <v>73</v>
      </c>
      <c r="E72" s="26">
        <f>LOOKUP(LISTAR!A72,AJUSTE!B:B,AJUSTE!F:F)</f>
        <v>0</v>
      </c>
      <c r="F72" s="30" t="s">
        <v>99</v>
      </c>
      <c r="G72" s="26" t="str">
        <f t="shared" ref="G72" si="106">C71</f>
        <v/>
      </c>
      <c r="H72" s="32" t="s">
        <v>100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>
      <c r="A73" s="24">
        <v>27</v>
      </c>
      <c r="B73" s="21" t="s">
        <v>94</v>
      </c>
      <c r="C73" s="25" t="str">
        <f>LOOKUP(A73,INICIO!A$10:A$109,INICIO!K$10:K$109)</f>
        <v/>
      </c>
      <c r="D73" s="22" t="s">
        <v>95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>
      <c r="A74" s="28">
        <f>LOOKUP(A73,INICIO!A$10:A$109,INICIO!C$10:C$109)</f>
        <v>30</v>
      </c>
      <c r="B74" s="31" t="str">
        <f t="shared" si="4"/>
        <v xml:space="preserve"> _distribuicao. = </v>
      </c>
      <c r="C74" s="23" t="str">
        <f t="shared" ref="C74" si="109">SUBSTITUTE(E74,"???",CONCATENATE(F74,G74,H74))</f>
        <v>0</v>
      </c>
      <c r="D74" s="23" t="s">
        <v>73</v>
      </c>
      <c r="E74" s="26">
        <f>LOOKUP(LISTAR!A74,AJUSTE!B:B,AJUSTE!F:F)</f>
        <v>0</v>
      </c>
      <c r="F74" s="30" t="s">
        <v>99</v>
      </c>
      <c r="G74" s="26" t="str">
        <f t="shared" ref="G74" si="110">C73</f>
        <v/>
      </c>
      <c r="H74" s="32" t="s">
        <v>100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>
      <c r="A75" s="24">
        <v>28</v>
      </c>
      <c r="B75" s="21" t="s">
        <v>94</v>
      </c>
      <c r="C75" s="25" t="str">
        <f>LOOKUP(A75,INICIO!A$10:A$109,INICIO!K$10:K$109)</f>
        <v/>
      </c>
      <c r="D75" s="22" t="s">
        <v>95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>
      <c r="A76" s="28">
        <f>LOOKUP(A75,INICIO!A$10:A$109,INICIO!C$10:C$109)</f>
        <v>30</v>
      </c>
      <c r="B76" s="31" t="str">
        <f t="shared" si="4"/>
        <v xml:space="preserve"> _distribuicao. = </v>
      </c>
      <c r="C76" s="23" t="str">
        <f t="shared" ref="C76" si="113">SUBSTITUTE(E76,"???",CONCATENATE(F76,G76,H76))</f>
        <v>0</v>
      </c>
      <c r="D76" s="23" t="s">
        <v>73</v>
      </c>
      <c r="E76" s="26">
        <f>LOOKUP(LISTAR!A76,AJUSTE!B:B,AJUSTE!F:F)</f>
        <v>0</v>
      </c>
      <c r="F76" s="30" t="s">
        <v>99</v>
      </c>
      <c r="G76" s="26" t="str">
        <f t="shared" ref="G76" si="114">C75</f>
        <v/>
      </c>
      <c r="H76" s="32" t="s">
        <v>100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>
      <c r="A77" s="24">
        <v>29</v>
      </c>
      <c r="B77" s="21" t="s">
        <v>94</v>
      </c>
      <c r="C77" s="25" t="str">
        <f>LOOKUP(A77,INICIO!A$10:A$109,INICIO!K$10:K$109)</f>
        <v/>
      </c>
      <c r="D77" s="22" t="s">
        <v>95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>
      <c r="A78" s="28">
        <f>LOOKUP(A77,INICIO!A$10:A$109,INICIO!C$10:C$109)</f>
        <v>30</v>
      </c>
      <c r="B78" s="31" t="str">
        <f t="shared" si="4"/>
        <v xml:space="preserve"> _distribuicao. = </v>
      </c>
      <c r="C78" s="23" t="str">
        <f t="shared" ref="C78" si="117">SUBSTITUTE(E78,"???",CONCATENATE(F78,G78,H78))</f>
        <v>0</v>
      </c>
      <c r="D78" s="23" t="s">
        <v>73</v>
      </c>
      <c r="E78" s="26">
        <f>LOOKUP(LISTAR!A78,AJUSTE!B:B,AJUSTE!F:F)</f>
        <v>0</v>
      </c>
      <c r="F78" s="30" t="s">
        <v>99</v>
      </c>
      <c r="G78" s="26" t="str">
        <f t="shared" ref="G78" si="118">C77</f>
        <v/>
      </c>
      <c r="H78" s="32" t="s">
        <v>100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>
      <c r="A79" s="24">
        <v>30</v>
      </c>
      <c r="B79" s="21" t="s">
        <v>94</v>
      </c>
      <c r="C79" s="25" t="str">
        <f>LOOKUP(A79,INICIO!A$10:A$109,INICIO!K$10:K$109)</f>
        <v/>
      </c>
      <c r="D79" s="22" t="s">
        <v>95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>
      <c r="A80" s="28">
        <f>LOOKUP(A79,INICIO!A$10:A$109,INICIO!C$10:C$109)</f>
        <v>30</v>
      </c>
      <c r="B80" s="31" t="str">
        <f t="shared" si="4"/>
        <v xml:space="preserve"> _distribuicao. = </v>
      </c>
      <c r="C80" s="23" t="str">
        <f t="shared" ref="C80" si="121">SUBSTITUTE(E80,"???",CONCATENATE(F80,G80,H80))</f>
        <v>0</v>
      </c>
      <c r="D80" s="23" t="s">
        <v>73</v>
      </c>
      <c r="E80" s="26">
        <f>LOOKUP(LISTAR!A80,AJUSTE!B:B,AJUSTE!F:F)</f>
        <v>0</v>
      </c>
      <c r="F80" s="30" t="s">
        <v>99</v>
      </c>
      <c r="G80" s="26" t="str">
        <f t="shared" ref="G80" si="122">C79</f>
        <v/>
      </c>
      <c r="H80" s="32" t="s">
        <v>100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>
      <c r="A81" s="24">
        <v>31</v>
      </c>
      <c r="B81" s="21" t="s">
        <v>94</v>
      </c>
      <c r="C81" s="25" t="str">
        <f>LOOKUP(A81,INICIO!A$10:A$109,INICIO!K$10:K$109)</f>
        <v/>
      </c>
      <c r="D81" s="22" t="s">
        <v>95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>
      <c r="A82" s="28">
        <f>LOOKUP(A81,INICIO!A$10:A$109,INICIO!C$10:C$109)</f>
        <v>30</v>
      </c>
      <c r="B82" s="31" t="str">
        <f t="shared" si="4"/>
        <v xml:space="preserve"> _distribuicao. = </v>
      </c>
      <c r="C82" s="23" t="str">
        <f t="shared" ref="C82" si="125">SUBSTITUTE(E82,"???",CONCATENATE(F82,G82,H82))</f>
        <v>0</v>
      </c>
      <c r="D82" s="23" t="s">
        <v>73</v>
      </c>
      <c r="E82" s="26">
        <f>LOOKUP(LISTAR!A82,AJUSTE!B:B,AJUSTE!F:F)</f>
        <v>0</v>
      </c>
      <c r="F82" s="30" t="s">
        <v>99</v>
      </c>
      <c r="G82" s="26" t="str">
        <f t="shared" ref="G82" si="126">C81</f>
        <v/>
      </c>
      <c r="H82" s="32" t="s">
        <v>100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>
      <c r="A83" s="24">
        <v>32</v>
      </c>
      <c r="B83" s="21" t="s">
        <v>94</v>
      </c>
      <c r="C83" s="25" t="str">
        <f>LOOKUP(A83,INICIO!A$10:A$109,INICIO!K$10:K$109)</f>
        <v/>
      </c>
      <c r="D83" s="22" t="s">
        <v>95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>
      <c r="A84" s="28">
        <f>LOOKUP(A83,INICIO!A$10:A$109,INICIO!C$10:C$109)</f>
        <v>30</v>
      </c>
      <c r="B84" s="31" t="str">
        <f t="shared" si="4"/>
        <v xml:space="preserve"> _distribuicao. = </v>
      </c>
      <c r="C84" s="23" t="str">
        <f t="shared" ref="C84" si="129">SUBSTITUTE(E84,"???",CONCATENATE(F84,G84,H84))</f>
        <v>0</v>
      </c>
      <c r="D84" s="23" t="s">
        <v>73</v>
      </c>
      <c r="E84" s="26">
        <f>LOOKUP(LISTAR!A84,AJUSTE!B:B,AJUSTE!F:F)</f>
        <v>0</v>
      </c>
      <c r="F84" s="30" t="s">
        <v>99</v>
      </c>
      <c r="G84" s="26" t="str">
        <f t="shared" ref="G84" si="130">C83</f>
        <v/>
      </c>
      <c r="H84" s="32" t="s">
        <v>100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>
      <c r="A85" s="24">
        <v>33</v>
      </c>
      <c r="B85" s="21" t="s">
        <v>94</v>
      </c>
      <c r="C85" s="25" t="str">
        <f>LOOKUP(A85,INICIO!A$10:A$109,INICIO!K$10:K$109)</f>
        <v/>
      </c>
      <c r="D85" s="22" t="s">
        <v>95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>
      <c r="A86" s="28">
        <f>LOOKUP(A85,INICIO!A$10:A$109,INICIO!C$10:C$109)</f>
        <v>30</v>
      </c>
      <c r="B86" s="31" t="str">
        <f t="shared" ref="B86:B148" si="133">CONCATENATE(C$19,".",C85," = ")</f>
        <v xml:space="preserve"> _distribuicao. = </v>
      </c>
      <c r="C86" s="23" t="str">
        <f t="shared" ref="C86" si="134">SUBSTITUTE(E86,"???",CONCATENATE(F86,G86,H86))</f>
        <v>0</v>
      </c>
      <c r="D86" s="23" t="s">
        <v>73</v>
      </c>
      <c r="E86" s="26">
        <f>LOOKUP(LISTAR!A86,AJUSTE!B:B,AJUSTE!F:F)</f>
        <v>0</v>
      </c>
      <c r="F86" s="30" t="s">
        <v>99</v>
      </c>
      <c r="G86" s="26" t="str">
        <f t="shared" ref="G86" si="135">C85</f>
        <v/>
      </c>
      <c r="H86" s="32" t="s">
        <v>100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>
      <c r="A87" s="24">
        <v>34</v>
      </c>
      <c r="B87" s="21" t="s">
        <v>94</v>
      </c>
      <c r="C87" s="25" t="str">
        <f>LOOKUP(A87,INICIO!A$10:A$109,INICIO!K$10:K$109)</f>
        <v/>
      </c>
      <c r="D87" s="22" t="s">
        <v>95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>
      <c r="A88" s="28">
        <f>LOOKUP(A87,INICIO!A$10:A$109,INICIO!C$10:C$109)</f>
        <v>30</v>
      </c>
      <c r="B88" s="31" t="str">
        <f t="shared" si="133"/>
        <v xml:space="preserve"> _distribuicao. = </v>
      </c>
      <c r="C88" s="23" t="str">
        <f t="shared" ref="C88" si="138">SUBSTITUTE(E88,"???",CONCATENATE(F88,G88,H88))</f>
        <v>0</v>
      </c>
      <c r="D88" s="23" t="s">
        <v>73</v>
      </c>
      <c r="E88" s="26">
        <f>LOOKUP(LISTAR!A88,AJUSTE!B:B,AJUSTE!F:F)</f>
        <v>0</v>
      </c>
      <c r="F88" s="30" t="s">
        <v>99</v>
      </c>
      <c r="G88" s="26" t="str">
        <f t="shared" ref="G88" si="139">C87</f>
        <v/>
      </c>
      <c r="H88" s="32" t="s">
        <v>100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>
      <c r="A89" s="24">
        <v>35</v>
      </c>
      <c r="B89" s="21" t="s">
        <v>94</v>
      </c>
      <c r="C89" s="25" t="str">
        <f>LOOKUP(A89,INICIO!A$10:A$109,INICIO!K$10:K$109)</f>
        <v/>
      </c>
      <c r="D89" s="22" t="s">
        <v>95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>
      <c r="A90" s="28">
        <f>LOOKUP(A89,INICIO!A$10:A$109,INICIO!C$10:C$109)</f>
        <v>30</v>
      </c>
      <c r="B90" s="31" t="str">
        <f t="shared" si="133"/>
        <v xml:space="preserve"> _distribuicao. = </v>
      </c>
      <c r="C90" s="23" t="str">
        <f t="shared" ref="C90" si="142">SUBSTITUTE(E90,"???",CONCATENATE(F90,G90,H90))</f>
        <v>0</v>
      </c>
      <c r="D90" s="23" t="s">
        <v>73</v>
      </c>
      <c r="E90" s="26">
        <f>LOOKUP(LISTAR!A90,AJUSTE!B:B,AJUSTE!F:F)</f>
        <v>0</v>
      </c>
      <c r="F90" s="30" t="s">
        <v>99</v>
      </c>
      <c r="G90" s="26" t="str">
        <f t="shared" ref="G90" si="143">C89</f>
        <v/>
      </c>
      <c r="H90" s="32" t="s">
        <v>100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>
      <c r="A91" s="24">
        <v>36</v>
      </c>
      <c r="B91" s="21" t="s">
        <v>94</v>
      </c>
      <c r="C91" s="25" t="str">
        <f>LOOKUP(A91,INICIO!A$10:A$109,INICIO!K$10:K$109)</f>
        <v/>
      </c>
      <c r="D91" s="22" t="s">
        <v>95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>
      <c r="A92" s="28">
        <f>LOOKUP(A91,INICIO!A$10:A$109,INICIO!C$10:C$109)</f>
        <v>30</v>
      </c>
      <c r="B92" s="31" t="str">
        <f t="shared" si="133"/>
        <v xml:space="preserve"> _distribuicao. = </v>
      </c>
      <c r="C92" s="23" t="str">
        <f t="shared" ref="C92" si="146">SUBSTITUTE(E92,"???",CONCATENATE(F92,G92,H92))</f>
        <v>0</v>
      </c>
      <c r="D92" s="23" t="s">
        <v>73</v>
      </c>
      <c r="E92" s="26">
        <f>LOOKUP(LISTAR!A92,AJUSTE!B:B,AJUSTE!F:F)</f>
        <v>0</v>
      </c>
      <c r="F92" s="30" t="s">
        <v>99</v>
      </c>
      <c r="G92" s="26" t="str">
        <f t="shared" ref="G92" si="147">C91</f>
        <v/>
      </c>
      <c r="H92" s="32" t="s">
        <v>100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>
      <c r="A93" s="24">
        <v>37</v>
      </c>
      <c r="B93" s="21" t="s">
        <v>94</v>
      </c>
      <c r="C93" s="25" t="str">
        <f>LOOKUP(A93,INICIO!A$10:A$109,INICIO!K$10:K$109)</f>
        <v/>
      </c>
      <c r="D93" s="22" t="s">
        <v>95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>
      <c r="A94" s="28">
        <f>LOOKUP(A93,INICIO!A$10:A$109,INICIO!C$10:C$109)</f>
        <v>30</v>
      </c>
      <c r="B94" s="31" t="str">
        <f t="shared" si="133"/>
        <v xml:space="preserve"> _distribuicao. = </v>
      </c>
      <c r="C94" s="23" t="str">
        <f t="shared" ref="C94" si="150">SUBSTITUTE(E94,"???",CONCATENATE(F94,G94,H94))</f>
        <v>0</v>
      </c>
      <c r="D94" s="23" t="s">
        <v>73</v>
      </c>
      <c r="E94" s="26">
        <f>LOOKUP(LISTAR!A94,AJUSTE!B:B,AJUSTE!F:F)</f>
        <v>0</v>
      </c>
      <c r="F94" s="30" t="s">
        <v>99</v>
      </c>
      <c r="G94" s="26" t="str">
        <f t="shared" ref="G94" si="151">C93</f>
        <v/>
      </c>
      <c r="H94" s="32" t="s">
        <v>100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>
      <c r="A95" s="24">
        <v>38</v>
      </c>
      <c r="B95" s="21" t="s">
        <v>94</v>
      </c>
      <c r="C95" s="25" t="str">
        <f>LOOKUP(A95,INICIO!A$10:A$109,INICIO!K$10:K$109)</f>
        <v/>
      </c>
      <c r="D95" s="22" t="s">
        <v>95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>
      <c r="A96" s="28">
        <f>LOOKUP(A95,INICIO!A$10:A$109,INICIO!C$10:C$109)</f>
        <v>30</v>
      </c>
      <c r="B96" s="31" t="str">
        <f t="shared" si="133"/>
        <v xml:space="preserve"> _distribuicao. = </v>
      </c>
      <c r="C96" s="23" t="str">
        <f t="shared" ref="C96" si="154">SUBSTITUTE(E96,"???",CONCATENATE(F96,G96,H96))</f>
        <v>0</v>
      </c>
      <c r="D96" s="23" t="s">
        <v>73</v>
      </c>
      <c r="E96" s="26">
        <f>LOOKUP(LISTAR!A96,AJUSTE!B:B,AJUSTE!F:F)</f>
        <v>0</v>
      </c>
      <c r="F96" s="30" t="s">
        <v>99</v>
      </c>
      <c r="G96" s="26" t="str">
        <f t="shared" ref="G96" si="155">C95</f>
        <v/>
      </c>
      <c r="H96" s="32" t="s">
        <v>100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>
      <c r="A97" s="24">
        <v>39</v>
      </c>
      <c r="B97" s="21" t="s">
        <v>94</v>
      </c>
      <c r="C97" s="25" t="str">
        <f>LOOKUP(A97,INICIO!A$10:A$109,INICIO!K$10:K$109)</f>
        <v/>
      </c>
      <c r="D97" s="22" t="s">
        <v>95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>
      <c r="A98" s="28">
        <f>LOOKUP(A97,INICIO!A$10:A$109,INICIO!C$10:C$109)</f>
        <v>30</v>
      </c>
      <c r="B98" s="31" t="str">
        <f t="shared" si="133"/>
        <v xml:space="preserve"> _distribuicao. = </v>
      </c>
      <c r="C98" s="23" t="str">
        <f t="shared" ref="C98" si="158">SUBSTITUTE(E98,"???",CONCATENATE(F98,G98,H98))</f>
        <v>0</v>
      </c>
      <c r="D98" s="23" t="s">
        <v>73</v>
      </c>
      <c r="E98" s="26">
        <f>LOOKUP(LISTAR!A98,AJUSTE!B:B,AJUSTE!F:F)</f>
        <v>0</v>
      </c>
      <c r="F98" s="30" t="s">
        <v>99</v>
      </c>
      <c r="G98" s="26" t="str">
        <f t="shared" ref="G98" si="159">C97</f>
        <v/>
      </c>
      <c r="H98" s="32" t="s">
        <v>100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>
      <c r="A99" s="24">
        <v>40</v>
      </c>
      <c r="B99" s="21" t="s">
        <v>94</v>
      </c>
      <c r="C99" s="25" t="str">
        <f>LOOKUP(A99,INICIO!A$10:A$109,INICIO!K$10:K$109)</f>
        <v/>
      </c>
      <c r="D99" s="22" t="s">
        <v>95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>
      <c r="A100" s="28">
        <f>LOOKUP(A99,INICIO!A$10:A$109,INICIO!C$10:C$109)</f>
        <v>30</v>
      </c>
      <c r="B100" s="31" t="str">
        <f t="shared" si="133"/>
        <v xml:space="preserve"> _distribuicao. = </v>
      </c>
      <c r="C100" s="23" t="str">
        <f t="shared" ref="C100" si="162">SUBSTITUTE(E100,"???",CONCATENATE(F100,G100,H100))</f>
        <v>0</v>
      </c>
      <c r="D100" s="23" t="s">
        <v>73</v>
      </c>
      <c r="E100" s="26">
        <f>LOOKUP(LISTAR!A100,AJUSTE!B:B,AJUSTE!F:F)</f>
        <v>0</v>
      </c>
      <c r="F100" s="30" t="s">
        <v>99</v>
      </c>
      <c r="G100" s="26" t="str">
        <f t="shared" ref="G100" si="163">C99</f>
        <v/>
      </c>
      <c r="H100" s="32" t="s">
        <v>100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>
      <c r="A101" s="24">
        <v>41</v>
      </c>
      <c r="B101" s="21" t="s">
        <v>94</v>
      </c>
      <c r="C101" s="25" t="str">
        <f>LOOKUP(A101,INICIO!A$10:A$109,INICIO!K$10:K$109)</f>
        <v/>
      </c>
      <c r="D101" s="22" t="s">
        <v>95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>
      <c r="A102" s="28">
        <f>LOOKUP(A101,INICIO!A$10:A$109,INICIO!C$10:C$109)</f>
        <v>30</v>
      </c>
      <c r="B102" s="31" t="str">
        <f t="shared" si="133"/>
        <v xml:space="preserve"> _distribuicao. = </v>
      </c>
      <c r="C102" s="23" t="str">
        <f t="shared" ref="C102" si="166">SUBSTITUTE(E102,"???",CONCATENATE(F102,G102,H102))</f>
        <v>0</v>
      </c>
      <c r="D102" s="23" t="s">
        <v>73</v>
      </c>
      <c r="E102" s="26">
        <f>LOOKUP(LISTAR!A102,AJUSTE!B:B,AJUSTE!F:F)</f>
        <v>0</v>
      </c>
      <c r="F102" s="30" t="s">
        <v>99</v>
      </c>
      <c r="G102" s="26" t="str">
        <f t="shared" ref="G102" si="167">C101</f>
        <v/>
      </c>
      <c r="H102" s="32" t="s">
        <v>100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>
      <c r="A103" s="24">
        <v>42</v>
      </c>
      <c r="B103" s="21" t="s">
        <v>94</v>
      </c>
      <c r="C103" s="25" t="str">
        <f>LOOKUP(A103,INICIO!A$10:A$109,INICIO!K$10:K$109)</f>
        <v/>
      </c>
      <c r="D103" s="22" t="s">
        <v>95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>
      <c r="A104" s="28">
        <f>LOOKUP(A103,INICIO!A$10:A$109,INICIO!C$10:C$109)</f>
        <v>30</v>
      </c>
      <c r="B104" s="31" t="str">
        <f t="shared" si="133"/>
        <v xml:space="preserve"> _distribuicao. = </v>
      </c>
      <c r="C104" s="23" t="str">
        <f t="shared" ref="C104" si="170">SUBSTITUTE(E104,"???",CONCATENATE(F104,G104,H104))</f>
        <v>0</v>
      </c>
      <c r="D104" s="23" t="s">
        <v>73</v>
      </c>
      <c r="E104" s="26">
        <f>LOOKUP(LISTAR!A104,AJUSTE!B:B,AJUSTE!F:F)</f>
        <v>0</v>
      </c>
      <c r="F104" s="30" t="s">
        <v>99</v>
      </c>
      <c r="G104" s="26" t="str">
        <f t="shared" ref="G104" si="171">C103</f>
        <v/>
      </c>
      <c r="H104" s="32" t="s">
        <v>100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>
      <c r="A105" s="24">
        <v>43</v>
      </c>
      <c r="B105" s="21" t="s">
        <v>94</v>
      </c>
      <c r="C105" s="25" t="str">
        <f>LOOKUP(A105,INICIO!A$10:A$109,INICIO!K$10:K$109)</f>
        <v/>
      </c>
      <c r="D105" s="22" t="s">
        <v>95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>
      <c r="A106" s="28">
        <f>LOOKUP(A105,INICIO!A$10:A$109,INICIO!C$10:C$109)</f>
        <v>30</v>
      </c>
      <c r="B106" s="31" t="str">
        <f t="shared" si="133"/>
        <v xml:space="preserve"> _distribuicao. = </v>
      </c>
      <c r="C106" s="23" t="str">
        <f t="shared" ref="C106" si="174">SUBSTITUTE(E106,"???",CONCATENATE(F106,G106,H106))</f>
        <v>0</v>
      </c>
      <c r="D106" s="23" t="s">
        <v>73</v>
      </c>
      <c r="E106" s="26">
        <f>LOOKUP(LISTAR!A106,AJUSTE!B:B,AJUSTE!F:F)</f>
        <v>0</v>
      </c>
      <c r="F106" s="30" t="s">
        <v>99</v>
      </c>
      <c r="G106" s="26" t="str">
        <f t="shared" ref="G106" si="175">C105</f>
        <v/>
      </c>
      <c r="H106" s="32" t="s">
        <v>100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>
      <c r="A107" s="24">
        <v>44</v>
      </c>
      <c r="B107" s="21" t="s">
        <v>94</v>
      </c>
      <c r="C107" s="25" t="str">
        <f>LOOKUP(A107,INICIO!A$10:A$109,INICIO!K$10:K$109)</f>
        <v/>
      </c>
      <c r="D107" s="22" t="s">
        <v>95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>
      <c r="A108" s="28">
        <f>LOOKUP(A107,INICIO!A$10:A$109,INICIO!C$10:C$109)</f>
        <v>30</v>
      </c>
      <c r="B108" s="31" t="str">
        <f t="shared" si="133"/>
        <v xml:space="preserve"> _distribuicao. = </v>
      </c>
      <c r="C108" s="23" t="str">
        <f t="shared" ref="C108" si="178">SUBSTITUTE(E108,"???",CONCATENATE(F108,G108,H108))</f>
        <v>0</v>
      </c>
      <c r="D108" s="23" t="s">
        <v>73</v>
      </c>
      <c r="E108" s="26">
        <f>LOOKUP(LISTAR!A108,AJUSTE!B:B,AJUSTE!F:F)</f>
        <v>0</v>
      </c>
      <c r="F108" s="30" t="s">
        <v>99</v>
      </c>
      <c r="G108" s="26" t="str">
        <f t="shared" ref="G108" si="179">C107</f>
        <v/>
      </c>
      <c r="H108" s="32" t="s">
        <v>100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>
      <c r="A109" s="24">
        <v>45</v>
      </c>
      <c r="B109" s="21" t="s">
        <v>94</v>
      </c>
      <c r="C109" s="25" t="str">
        <f>LOOKUP(A109,INICIO!A$10:A$109,INICIO!K$10:K$109)</f>
        <v/>
      </c>
      <c r="D109" s="22" t="s">
        <v>95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>
      <c r="A110" s="28">
        <f>LOOKUP(A109,INICIO!A$10:A$109,INICIO!C$10:C$109)</f>
        <v>30</v>
      </c>
      <c r="B110" s="31" t="str">
        <f t="shared" si="133"/>
        <v xml:space="preserve"> _distribuicao. = </v>
      </c>
      <c r="C110" s="23" t="str">
        <f t="shared" ref="C110" si="182">SUBSTITUTE(E110,"???",CONCATENATE(F110,G110,H110))</f>
        <v>0</v>
      </c>
      <c r="D110" s="23" t="s">
        <v>73</v>
      </c>
      <c r="E110" s="26">
        <f>LOOKUP(LISTAR!A110,AJUSTE!B:B,AJUSTE!F:F)</f>
        <v>0</v>
      </c>
      <c r="F110" s="30" t="s">
        <v>99</v>
      </c>
      <c r="G110" s="26" t="str">
        <f t="shared" ref="G110" si="183">C109</f>
        <v/>
      </c>
      <c r="H110" s="32" t="s">
        <v>100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>
      <c r="A111" s="24">
        <v>46</v>
      </c>
      <c r="B111" s="21" t="s">
        <v>94</v>
      </c>
      <c r="C111" s="25" t="str">
        <f>LOOKUP(A111,INICIO!A$10:A$109,INICIO!K$10:K$109)</f>
        <v/>
      </c>
      <c r="D111" s="22" t="s">
        <v>95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>
      <c r="A112" s="28">
        <f>LOOKUP(A111,INICIO!A$10:A$109,INICIO!C$10:C$109)</f>
        <v>30</v>
      </c>
      <c r="B112" s="31" t="str">
        <f t="shared" si="133"/>
        <v xml:space="preserve"> _distribuicao. = </v>
      </c>
      <c r="C112" s="23" t="str">
        <f t="shared" ref="C112" si="186">SUBSTITUTE(E112,"???",CONCATENATE(F112,G112,H112))</f>
        <v>0</v>
      </c>
      <c r="D112" s="23" t="s">
        <v>73</v>
      </c>
      <c r="E112" s="26">
        <f>LOOKUP(LISTAR!A112,AJUSTE!B:B,AJUSTE!F:F)</f>
        <v>0</v>
      </c>
      <c r="F112" s="30" t="s">
        <v>99</v>
      </c>
      <c r="G112" s="26" t="str">
        <f t="shared" ref="G112" si="187">C111</f>
        <v/>
      </c>
      <c r="H112" s="32" t="s">
        <v>100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>
      <c r="A113" s="24">
        <v>47</v>
      </c>
      <c r="B113" s="21" t="s">
        <v>94</v>
      </c>
      <c r="C113" s="25" t="str">
        <f>LOOKUP(A113,INICIO!A$10:A$109,INICIO!K$10:K$109)</f>
        <v/>
      </c>
      <c r="D113" s="22" t="s">
        <v>95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>
      <c r="A114" s="28">
        <f>LOOKUP(A113,INICIO!A$10:A$109,INICIO!C$10:C$109)</f>
        <v>30</v>
      </c>
      <c r="B114" s="31" t="str">
        <f t="shared" si="133"/>
        <v xml:space="preserve"> _distribuicao. = </v>
      </c>
      <c r="C114" s="23" t="str">
        <f t="shared" ref="C114" si="190">SUBSTITUTE(E114,"???",CONCATENATE(F114,G114,H114))</f>
        <v>0</v>
      </c>
      <c r="D114" s="23" t="s">
        <v>73</v>
      </c>
      <c r="E114" s="26">
        <f>LOOKUP(LISTAR!A114,AJUSTE!B:B,AJUSTE!F:F)</f>
        <v>0</v>
      </c>
      <c r="F114" s="30" t="s">
        <v>99</v>
      </c>
      <c r="G114" s="26" t="str">
        <f t="shared" ref="G114" si="191">C113</f>
        <v/>
      </c>
      <c r="H114" s="32" t="s">
        <v>100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>
      <c r="A115" s="24">
        <v>48</v>
      </c>
      <c r="B115" s="21" t="s">
        <v>94</v>
      </c>
      <c r="C115" s="25" t="str">
        <f>LOOKUP(A115,INICIO!A$10:A$109,INICIO!K$10:K$109)</f>
        <v/>
      </c>
      <c r="D115" s="22" t="s">
        <v>95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>
      <c r="A116" s="28">
        <f>LOOKUP(A115,INICIO!A$10:A$109,INICIO!C$10:C$109)</f>
        <v>30</v>
      </c>
      <c r="B116" s="31" t="str">
        <f t="shared" si="133"/>
        <v xml:space="preserve"> _distribuicao. = </v>
      </c>
      <c r="C116" s="23" t="str">
        <f t="shared" ref="C116" si="194">SUBSTITUTE(E116,"???",CONCATENATE(F116,G116,H116))</f>
        <v>0</v>
      </c>
      <c r="D116" s="23" t="s">
        <v>73</v>
      </c>
      <c r="E116" s="26">
        <f>LOOKUP(LISTAR!A116,AJUSTE!B:B,AJUSTE!F:F)</f>
        <v>0</v>
      </c>
      <c r="F116" s="30" t="s">
        <v>99</v>
      </c>
      <c r="G116" s="26" t="str">
        <f t="shared" ref="G116" si="195">C115</f>
        <v/>
      </c>
      <c r="H116" s="32" t="s">
        <v>100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>
      <c r="A117" s="24">
        <v>49</v>
      </c>
      <c r="B117" s="21" t="s">
        <v>94</v>
      </c>
      <c r="C117" s="25" t="str">
        <f>LOOKUP(A117,INICIO!A$10:A$109,INICIO!K$10:K$109)</f>
        <v/>
      </c>
      <c r="D117" s="22" t="s">
        <v>95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>
      <c r="A118" s="28">
        <f>LOOKUP(A117,INICIO!A$10:A$109,INICIO!C$10:C$109)</f>
        <v>30</v>
      </c>
      <c r="B118" s="31" t="str">
        <f t="shared" si="133"/>
        <v xml:space="preserve"> _distribuicao. = </v>
      </c>
      <c r="C118" s="23" t="str">
        <f t="shared" ref="C118" si="198">SUBSTITUTE(E118,"???",CONCATENATE(F118,G118,H118))</f>
        <v>0</v>
      </c>
      <c r="D118" s="23" t="s">
        <v>73</v>
      </c>
      <c r="E118" s="26">
        <f>LOOKUP(LISTAR!A118,AJUSTE!B:B,AJUSTE!F:F)</f>
        <v>0</v>
      </c>
      <c r="F118" s="30" t="s">
        <v>99</v>
      </c>
      <c r="G118" s="26" t="str">
        <f t="shared" ref="G118" si="199">C117</f>
        <v/>
      </c>
      <c r="H118" s="32" t="s">
        <v>100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>
      <c r="A119" s="24">
        <v>50</v>
      </c>
      <c r="B119" s="21" t="s">
        <v>94</v>
      </c>
      <c r="C119" s="25" t="str">
        <f>LOOKUP(A119,INICIO!A$10:A$109,INICIO!K$10:K$109)</f>
        <v/>
      </c>
      <c r="D119" s="22" t="s">
        <v>95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>
      <c r="A120" s="28">
        <f>LOOKUP(A119,INICIO!A$10:A$109,INICIO!C$10:C$109)</f>
        <v>30</v>
      </c>
      <c r="B120" s="31" t="str">
        <f t="shared" si="133"/>
        <v xml:space="preserve"> _distribuicao. = </v>
      </c>
      <c r="C120" s="23" t="str">
        <f t="shared" ref="C120" si="202">SUBSTITUTE(E120,"???",CONCATENATE(F120,G120,H120))</f>
        <v>0</v>
      </c>
      <c r="D120" s="23" t="s">
        <v>73</v>
      </c>
      <c r="E120" s="26">
        <f>LOOKUP(LISTAR!A120,AJUSTE!B:B,AJUSTE!F:F)</f>
        <v>0</v>
      </c>
      <c r="F120" s="30" t="s">
        <v>99</v>
      </c>
      <c r="G120" s="26" t="str">
        <f t="shared" ref="G120" si="203">C119</f>
        <v/>
      </c>
      <c r="H120" s="32" t="s">
        <v>100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>
      <c r="A121" s="24">
        <v>51</v>
      </c>
      <c r="B121" s="21" t="s">
        <v>94</v>
      </c>
      <c r="C121" s="25" t="str">
        <f>LOOKUP(A121,INICIO!A$10:A$109,INICIO!K$10:K$109)</f>
        <v/>
      </c>
      <c r="D121" s="22" t="s">
        <v>95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>
      <c r="A122" s="28">
        <f>LOOKUP(A121,INICIO!A$10:A$109,INICIO!C$10:C$109)</f>
        <v>30</v>
      </c>
      <c r="B122" s="31" t="str">
        <f t="shared" si="133"/>
        <v xml:space="preserve"> _distribuicao. = </v>
      </c>
      <c r="C122" s="23" t="str">
        <f t="shared" ref="C122" si="206">SUBSTITUTE(E122,"???",CONCATENATE(F122,G122,H122))</f>
        <v>0</v>
      </c>
      <c r="D122" s="23" t="s">
        <v>73</v>
      </c>
      <c r="E122" s="26">
        <f>LOOKUP(LISTAR!A122,AJUSTE!B:B,AJUSTE!F:F)</f>
        <v>0</v>
      </c>
      <c r="F122" s="30" t="s">
        <v>99</v>
      </c>
      <c r="G122" s="26" t="str">
        <f t="shared" ref="G122" si="207">C121</f>
        <v/>
      </c>
      <c r="H122" s="32" t="s">
        <v>100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>
      <c r="A123" s="24">
        <v>52</v>
      </c>
      <c r="B123" s="21" t="s">
        <v>94</v>
      </c>
      <c r="C123" s="25" t="str">
        <f>LOOKUP(A123,INICIO!A$10:A$109,INICIO!K$10:K$109)</f>
        <v/>
      </c>
      <c r="D123" s="22" t="s">
        <v>95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>
      <c r="A124" s="28">
        <f>LOOKUP(A123,INICIO!A$10:A$109,INICIO!C$10:C$109)</f>
        <v>30</v>
      </c>
      <c r="B124" s="31" t="str">
        <f t="shared" si="133"/>
        <v xml:space="preserve"> _distribuicao. = </v>
      </c>
      <c r="C124" s="23" t="str">
        <f t="shared" ref="C124" si="210">SUBSTITUTE(E124,"???",CONCATENATE(F124,G124,H124))</f>
        <v>0</v>
      </c>
      <c r="D124" s="23" t="s">
        <v>73</v>
      </c>
      <c r="E124" s="26">
        <f>LOOKUP(LISTAR!A124,AJUSTE!B:B,AJUSTE!F:F)</f>
        <v>0</v>
      </c>
      <c r="F124" s="30" t="s">
        <v>99</v>
      </c>
      <c r="G124" s="26" t="str">
        <f t="shared" ref="G124" si="211">C123</f>
        <v/>
      </c>
      <c r="H124" s="32" t="s">
        <v>100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>
      <c r="A125" s="24">
        <v>53</v>
      </c>
      <c r="B125" s="21" t="s">
        <v>94</v>
      </c>
      <c r="C125" s="25" t="str">
        <f>LOOKUP(A125,INICIO!A$10:A$109,INICIO!K$10:K$109)</f>
        <v/>
      </c>
      <c r="D125" s="22" t="s">
        <v>95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>
      <c r="A126" s="28">
        <f>LOOKUP(A125,INICIO!A$10:A$109,INICIO!C$10:C$109)</f>
        <v>30</v>
      </c>
      <c r="B126" s="31" t="str">
        <f t="shared" si="133"/>
        <v xml:space="preserve"> _distribuicao. = </v>
      </c>
      <c r="C126" s="23" t="str">
        <f t="shared" ref="C126" si="214">SUBSTITUTE(E126,"???",CONCATENATE(F126,G126,H126))</f>
        <v>0</v>
      </c>
      <c r="D126" s="23" t="s">
        <v>73</v>
      </c>
      <c r="E126" s="26">
        <f>LOOKUP(LISTAR!A126,AJUSTE!B:B,AJUSTE!F:F)</f>
        <v>0</v>
      </c>
      <c r="F126" s="30" t="s">
        <v>99</v>
      </c>
      <c r="G126" s="26" t="str">
        <f t="shared" ref="G126" si="215">C125</f>
        <v/>
      </c>
      <c r="H126" s="32" t="s">
        <v>100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>
      <c r="A127" s="24">
        <v>54</v>
      </c>
      <c r="B127" s="21" t="s">
        <v>94</v>
      </c>
      <c r="C127" s="25" t="str">
        <f>LOOKUP(A127,INICIO!A$10:A$109,INICIO!K$10:K$109)</f>
        <v/>
      </c>
      <c r="D127" s="22" t="s">
        <v>95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>
      <c r="A128" s="28">
        <f>LOOKUP(A127,INICIO!A$10:A$109,INICIO!C$10:C$109)</f>
        <v>30</v>
      </c>
      <c r="B128" s="31" t="str">
        <f t="shared" si="133"/>
        <v xml:space="preserve"> _distribuicao. = </v>
      </c>
      <c r="C128" s="23" t="str">
        <f t="shared" ref="C128" si="218">SUBSTITUTE(E128,"???",CONCATENATE(F128,G128,H128))</f>
        <v>0</v>
      </c>
      <c r="D128" s="23" t="s">
        <v>73</v>
      </c>
      <c r="E128" s="26">
        <f>LOOKUP(LISTAR!A128,AJUSTE!B:B,AJUSTE!F:F)</f>
        <v>0</v>
      </c>
      <c r="F128" s="30" t="s">
        <v>99</v>
      </c>
      <c r="G128" s="26" t="str">
        <f t="shared" ref="G128" si="219">C127</f>
        <v/>
      </c>
      <c r="H128" s="32" t="s">
        <v>100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>
      <c r="A129" s="24">
        <v>55</v>
      </c>
      <c r="B129" s="21" t="s">
        <v>94</v>
      </c>
      <c r="C129" s="25" t="str">
        <f>LOOKUP(A129,INICIO!A$10:A$109,INICIO!K$10:K$109)</f>
        <v/>
      </c>
      <c r="D129" s="22" t="s">
        <v>95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>
      <c r="A130" s="28">
        <f>LOOKUP(A129,INICIO!A$10:A$109,INICIO!C$10:C$109)</f>
        <v>30</v>
      </c>
      <c r="B130" s="31" t="str">
        <f t="shared" si="133"/>
        <v xml:space="preserve"> _distribuicao. = </v>
      </c>
      <c r="C130" s="23" t="str">
        <f t="shared" ref="C130" si="222">SUBSTITUTE(E130,"???",CONCATENATE(F130,G130,H130))</f>
        <v>0</v>
      </c>
      <c r="D130" s="23" t="s">
        <v>73</v>
      </c>
      <c r="E130" s="26">
        <f>LOOKUP(LISTAR!A130,AJUSTE!B:B,AJUSTE!F:F)</f>
        <v>0</v>
      </c>
      <c r="F130" s="30" t="s">
        <v>99</v>
      </c>
      <c r="G130" s="26" t="str">
        <f t="shared" ref="G130" si="223">C129</f>
        <v/>
      </c>
      <c r="H130" s="32" t="s">
        <v>100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>
      <c r="A131" s="24">
        <v>56</v>
      </c>
      <c r="B131" s="21" t="s">
        <v>94</v>
      </c>
      <c r="C131" s="25" t="str">
        <f>LOOKUP(A131,INICIO!A$10:A$109,INICIO!K$10:K$109)</f>
        <v/>
      </c>
      <c r="D131" s="22" t="s">
        <v>95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>
      <c r="A132" s="28">
        <f>LOOKUP(A131,INICIO!A$10:A$109,INICIO!C$10:C$109)</f>
        <v>30</v>
      </c>
      <c r="B132" s="31" t="str">
        <f t="shared" si="133"/>
        <v xml:space="preserve"> _distribuicao. = </v>
      </c>
      <c r="C132" s="23" t="str">
        <f t="shared" ref="C132" si="227">SUBSTITUTE(E132,"???",CONCATENATE(F132,G132,H132))</f>
        <v>0</v>
      </c>
      <c r="D132" s="23" t="s">
        <v>73</v>
      </c>
      <c r="E132" s="26">
        <f>LOOKUP(LISTAR!A132,AJUSTE!B:B,AJUSTE!F:F)</f>
        <v>0</v>
      </c>
      <c r="F132" s="30" t="s">
        <v>99</v>
      </c>
      <c r="G132" s="26" t="str">
        <f t="shared" ref="G132" si="228">C131</f>
        <v/>
      </c>
      <c r="H132" s="32" t="s">
        <v>100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>
      <c r="A133" s="24">
        <v>57</v>
      </c>
      <c r="B133" s="21" t="s">
        <v>94</v>
      </c>
      <c r="C133" s="25" t="str">
        <f>LOOKUP(A133,INICIO!A$10:A$109,INICIO!K$10:K$109)</f>
        <v/>
      </c>
      <c r="D133" s="22" t="s">
        <v>95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>
      <c r="A134" s="28">
        <f>LOOKUP(A133,INICIO!A$10:A$109,INICIO!C$10:C$109)</f>
        <v>30</v>
      </c>
      <c r="B134" s="31" t="str">
        <f t="shared" si="133"/>
        <v xml:space="preserve"> _distribuicao. = </v>
      </c>
      <c r="C134" s="23" t="str">
        <f t="shared" ref="C134" si="231">SUBSTITUTE(E134,"???",CONCATENATE(F134,G134,H134))</f>
        <v>0</v>
      </c>
      <c r="D134" s="23" t="s">
        <v>73</v>
      </c>
      <c r="E134" s="26">
        <f>LOOKUP(LISTAR!A134,AJUSTE!B:B,AJUSTE!F:F)</f>
        <v>0</v>
      </c>
      <c r="F134" s="30" t="s">
        <v>99</v>
      </c>
      <c r="G134" s="26" t="str">
        <f t="shared" ref="G134" si="232">C133</f>
        <v/>
      </c>
      <c r="H134" s="32" t="s">
        <v>100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>
      <c r="A135" s="24">
        <v>58</v>
      </c>
      <c r="B135" s="21" t="s">
        <v>94</v>
      </c>
      <c r="C135" s="25" t="str">
        <f>LOOKUP(A135,INICIO!A$10:A$109,INICIO!K$10:K$109)</f>
        <v/>
      </c>
      <c r="D135" s="22" t="s">
        <v>95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>
      <c r="A136" s="28">
        <f>LOOKUP(A135,INICIO!A$10:A$109,INICIO!C$10:C$109)</f>
        <v>30</v>
      </c>
      <c r="B136" s="31" t="str">
        <f t="shared" si="133"/>
        <v xml:space="preserve"> _distribuicao. = </v>
      </c>
      <c r="C136" s="23" t="str">
        <f t="shared" ref="C136" si="235">SUBSTITUTE(E136,"???",CONCATENATE(F136,G136,H136))</f>
        <v>0</v>
      </c>
      <c r="D136" s="23" t="s">
        <v>73</v>
      </c>
      <c r="E136" s="26">
        <f>LOOKUP(LISTAR!A136,AJUSTE!B:B,AJUSTE!F:F)</f>
        <v>0</v>
      </c>
      <c r="F136" s="30" t="s">
        <v>99</v>
      </c>
      <c r="G136" s="26" t="str">
        <f t="shared" ref="G136" si="236">C135</f>
        <v/>
      </c>
      <c r="H136" s="32" t="s">
        <v>100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>
      <c r="A137" s="24">
        <v>59</v>
      </c>
      <c r="B137" s="21" t="s">
        <v>94</v>
      </c>
      <c r="C137" s="25" t="str">
        <f>LOOKUP(A137,INICIO!A$10:A$109,INICIO!K$10:K$109)</f>
        <v/>
      </c>
      <c r="D137" s="22" t="s">
        <v>95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>
      <c r="A138" s="28">
        <f>LOOKUP(A137,INICIO!A$10:A$109,INICIO!C$10:C$109)</f>
        <v>30</v>
      </c>
      <c r="B138" s="31" t="str">
        <f t="shared" si="133"/>
        <v xml:space="preserve"> _distribuicao. = </v>
      </c>
      <c r="C138" s="23" t="str">
        <f t="shared" ref="C138" si="239">SUBSTITUTE(E138,"???",CONCATENATE(F138,G138,H138))</f>
        <v>0</v>
      </c>
      <c r="D138" s="23" t="s">
        <v>73</v>
      </c>
      <c r="E138" s="26">
        <f>LOOKUP(LISTAR!A138,AJUSTE!B:B,AJUSTE!F:F)</f>
        <v>0</v>
      </c>
      <c r="F138" s="30" t="s">
        <v>99</v>
      </c>
      <c r="G138" s="26" t="str">
        <f t="shared" ref="G138" si="240">C137</f>
        <v/>
      </c>
      <c r="H138" s="32" t="s">
        <v>100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>
      <c r="A139" s="24">
        <v>60</v>
      </c>
      <c r="B139" s="21" t="s">
        <v>94</v>
      </c>
      <c r="C139" s="25" t="str">
        <f>LOOKUP(A139,INICIO!A$10:A$109,INICIO!K$10:K$109)</f>
        <v/>
      </c>
      <c r="D139" s="22" t="s">
        <v>95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>
      <c r="A140" s="28">
        <f>LOOKUP(A139,INICIO!A$10:A$109,INICIO!C$10:C$109)</f>
        <v>30</v>
      </c>
      <c r="B140" s="31" t="str">
        <f t="shared" si="133"/>
        <v xml:space="preserve"> _distribuicao. = </v>
      </c>
      <c r="C140" s="23" t="str">
        <f t="shared" ref="C140" si="243">SUBSTITUTE(E140,"???",CONCATENATE(F140,G140,H140))</f>
        <v>0</v>
      </c>
      <c r="D140" s="23" t="s">
        <v>73</v>
      </c>
      <c r="E140" s="26">
        <f>LOOKUP(LISTAR!A140,AJUSTE!B:B,AJUSTE!F:F)</f>
        <v>0</v>
      </c>
      <c r="F140" s="30" t="s">
        <v>99</v>
      </c>
      <c r="G140" s="26" t="str">
        <f t="shared" ref="G140" si="244">C139</f>
        <v/>
      </c>
      <c r="H140" s="32" t="s">
        <v>100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>
      <c r="A141" s="24">
        <v>61</v>
      </c>
      <c r="B141" s="21" t="s">
        <v>94</v>
      </c>
      <c r="C141" s="25" t="str">
        <f>LOOKUP(A141,INICIO!A$10:A$109,INICIO!K$10:K$109)</f>
        <v/>
      </c>
      <c r="D141" s="22" t="s">
        <v>95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>
      <c r="A142" s="28">
        <f>LOOKUP(A141,INICIO!A$10:A$109,INICIO!C$10:C$109)</f>
        <v>30</v>
      </c>
      <c r="B142" s="31" t="str">
        <f t="shared" si="133"/>
        <v xml:space="preserve"> _distribuicao. = </v>
      </c>
      <c r="C142" s="23" t="str">
        <f t="shared" ref="C142" si="247">SUBSTITUTE(E142,"???",CONCATENATE(F142,G142,H142))</f>
        <v>0</v>
      </c>
      <c r="D142" s="23" t="s">
        <v>73</v>
      </c>
      <c r="E142" s="26">
        <f>LOOKUP(LISTAR!A142,AJUSTE!B:B,AJUSTE!F:F)</f>
        <v>0</v>
      </c>
      <c r="F142" s="30" t="s">
        <v>99</v>
      </c>
      <c r="G142" s="26" t="str">
        <f t="shared" ref="G142" si="248">C141</f>
        <v/>
      </c>
      <c r="H142" s="32" t="s">
        <v>100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>
      <c r="A143" s="24">
        <v>62</v>
      </c>
      <c r="B143" s="21" t="s">
        <v>94</v>
      </c>
      <c r="C143" s="25" t="str">
        <f>LOOKUP(A143,INICIO!A$10:A$109,INICIO!K$10:K$109)</f>
        <v/>
      </c>
      <c r="D143" s="22" t="s">
        <v>95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>
      <c r="A144" s="28">
        <f>LOOKUP(A143,INICIO!A$10:A$109,INICIO!C$10:C$109)</f>
        <v>30</v>
      </c>
      <c r="B144" s="31" t="str">
        <f t="shared" si="133"/>
        <v xml:space="preserve"> _distribuicao. = </v>
      </c>
      <c r="C144" s="23" t="str">
        <f t="shared" ref="C144" si="251">SUBSTITUTE(E144,"???",CONCATENATE(F144,G144,H144))</f>
        <v>0</v>
      </c>
      <c r="D144" s="23" t="s">
        <v>73</v>
      </c>
      <c r="E144" s="26">
        <f>LOOKUP(LISTAR!A144,AJUSTE!B:B,AJUSTE!F:F)</f>
        <v>0</v>
      </c>
      <c r="F144" s="30" t="s">
        <v>99</v>
      </c>
      <c r="G144" s="26" t="str">
        <f t="shared" ref="G144" si="252">C143</f>
        <v/>
      </c>
      <c r="H144" s="32" t="s">
        <v>100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>
      <c r="A145" s="24">
        <v>63</v>
      </c>
      <c r="B145" s="21" t="s">
        <v>94</v>
      </c>
      <c r="C145" s="25" t="str">
        <f>LOOKUP(A145,INICIO!A$10:A$109,INICIO!K$10:K$109)</f>
        <v/>
      </c>
      <c r="D145" s="22" t="s">
        <v>95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>
      <c r="A146" s="28">
        <f>LOOKUP(A145,INICIO!A$10:A$109,INICIO!C$10:C$109)</f>
        <v>30</v>
      </c>
      <c r="B146" s="31" t="str">
        <f t="shared" si="133"/>
        <v xml:space="preserve"> _distribuicao. = </v>
      </c>
      <c r="C146" s="23" t="str">
        <f t="shared" ref="C146" si="255">SUBSTITUTE(E146,"???",CONCATENATE(F146,G146,H146))</f>
        <v>0</v>
      </c>
      <c r="D146" s="23" t="s">
        <v>73</v>
      </c>
      <c r="E146" s="26">
        <f>LOOKUP(LISTAR!A146,AJUSTE!B:B,AJUSTE!F:F)</f>
        <v>0</v>
      </c>
      <c r="F146" s="30" t="s">
        <v>99</v>
      </c>
      <c r="G146" s="26" t="str">
        <f t="shared" ref="G146" si="256">C145</f>
        <v/>
      </c>
      <c r="H146" s="32" t="s">
        <v>100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>
      <c r="A147" s="24">
        <v>64</v>
      </c>
      <c r="B147" s="21" t="s">
        <v>94</v>
      </c>
      <c r="C147" s="25" t="str">
        <f>LOOKUP(A147,INICIO!A$10:A$109,INICIO!K$10:K$109)</f>
        <v/>
      </c>
      <c r="D147" s="22" t="s">
        <v>95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>
      <c r="A148" s="28">
        <f>LOOKUP(A147,INICIO!A$10:A$109,INICIO!C$10:C$109)</f>
        <v>30</v>
      </c>
      <c r="B148" s="31" t="str">
        <f t="shared" si="133"/>
        <v xml:space="preserve"> _distribuicao. = </v>
      </c>
      <c r="C148" s="23" t="str">
        <f t="shared" ref="C148" si="259">SUBSTITUTE(E148,"???",CONCATENATE(F148,G148,H148))</f>
        <v>0</v>
      </c>
      <c r="D148" s="23" t="s">
        <v>73</v>
      </c>
      <c r="E148" s="26">
        <f>LOOKUP(LISTAR!A148,AJUSTE!B:B,AJUSTE!F:F)</f>
        <v>0</v>
      </c>
      <c r="F148" s="30" t="s">
        <v>99</v>
      </c>
      <c r="G148" s="26" t="str">
        <f t="shared" ref="G148" si="260">C147</f>
        <v/>
      </c>
      <c r="H148" s="32" t="s">
        <v>100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>
      <c r="A149" s="24">
        <v>65</v>
      </c>
      <c r="B149" s="21" t="s">
        <v>94</v>
      </c>
      <c r="C149" s="25" t="str">
        <f>LOOKUP(A149,INICIO!A$10:A$109,INICIO!K$10:K$109)</f>
        <v/>
      </c>
      <c r="D149" s="22" t="s">
        <v>95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>
      <c r="A150" s="28">
        <f>LOOKUP(A149,INICIO!A$10:A$109,INICIO!C$10:C$109)</f>
        <v>30</v>
      </c>
      <c r="B150" s="31" t="str">
        <f t="shared" ref="B150:B212" si="263">CONCATENATE(C$19,".",C149," = ")</f>
        <v xml:space="preserve"> _distribuicao. = </v>
      </c>
      <c r="C150" s="23" t="str">
        <f t="shared" ref="C150" si="264">SUBSTITUTE(E150,"???",CONCATENATE(F150,G150,H150))</f>
        <v>0</v>
      </c>
      <c r="D150" s="23" t="s">
        <v>73</v>
      </c>
      <c r="E150" s="26">
        <f>LOOKUP(LISTAR!A150,AJUSTE!B:B,AJUSTE!F:F)</f>
        <v>0</v>
      </c>
      <c r="F150" s="30" t="s">
        <v>99</v>
      </c>
      <c r="G150" s="26" t="str">
        <f t="shared" ref="G150" si="265">C149</f>
        <v/>
      </c>
      <c r="H150" s="32" t="s">
        <v>100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>
      <c r="A151" s="24">
        <v>66</v>
      </c>
      <c r="B151" s="21" t="s">
        <v>94</v>
      </c>
      <c r="C151" s="25" t="str">
        <f>LOOKUP(A151,INICIO!A$10:A$109,INICIO!K$10:K$109)</f>
        <v/>
      </c>
      <c r="D151" s="22" t="s">
        <v>95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>
      <c r="A152" s="28">
        <f>LOOKUP(A151,INICIO!A$10:A$109,INICIO!C$10:C$109)</f>
        <v>30</v>
      </c>
      <c r="B152" s="31" t="str">
        <f t="shared" si="263"/>
        <v xml:space="preserve"> _distribuicao. = </v>
      </c>
      <c r="C152" s="23" t="str">
        <f t="shared" ref="C152" si="268">SUBSTITUTE(E152,"???",CONCATENATE(F152,G152,H152))</f>
        <v>0</v>
      </c>
      <c r="D152" s="23" t="s">
        <v>73</v>
      </c>
      <c r="E152" s="26">
        <f>LOOKUP(LISTAR!A152,AJUSTE!B:B,AJUSTE!F:F)</f>
        <v>0</v>
      </c>
      <c r="F152" s="30" t="s">
        <v>99</v>
      </c>
      <c r="G152" s="26" t="str">
        <f t="shared" ref="G152" si="269">C151</f>
        <v/>
      </c>
      <c r="H152" s="32" t="s">
        <v>100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>
      <c r="A153" s="24">
        <v>67</v>
      </c>
      <c r="B153" s="21" t="s">
        <v>94</v>
      </c>
      <c r="C153" s="25" t="str">
        <f>LOOKUP(A153,INICIO!A$10:A$109,INICIO!K$10:K$109)</f>
        <v/>
      </c>
      <c r="D153" s="22" t="s">
        <v>95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>
      <c r="A154" s="28">
        <f>LOOKUP(A153,INICIO!A$10:A$109,INICIO!C$10:C$109)</f>
        <v>30</v>
      </c>
      <c r="B154" s="31" t="str">
        <f t="shared" si="263"/>
        <v xml:space="preserve"> _distribuicao. = </v>
      </c>
      <c r="C154" s="23" t="str">
        <f t="shared" ref="C154" si="272">SUBSTITUTE(E154,"???",CONCATENATE(F154,G154,H154))</f>
        <v>0</v>
      </c>
      <c r="D154" s="23" t="s">
        <v>73</v>
      </c>
      <c r="E154" s="26">
        <f>LOOKUP(LISTAR!A154,AJUSTE!B:B,AJUSTE!F:F)</f>
        <v>0</v>
      </c>
      <c r="F154" s="30" t="s">
        <v>99</v>
      </c>
      <c r="G154" s="26" t="str">
        <f t="shared" ref="G154" si="273">C153</f>
        <v/>
      </c>
      <c r="H154" s="32" t="s">
        <v>100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>
      <c r="A155" s="24">
        <v>68</v>
      </c>
      <c r="B155" s="21" t="s">
        <v>94</v>
      </c>
      <c r="C155" s="25" t="str">
        <f>LOOKUP(A155,INICIO!A$10:A$109,INICIO!K$10:K$109)</f>
        <v/>
      </c>
      <c r="D155" s="22" t="s">
        <v>95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>
      <c r="A156" s="28">
        <f>LOOKUP(A155,INICIO!A$10:A$109,INICIO!C$10:C$109)</f>
        <v>30</v>
      </c>
      <c r="B156" s="31" t="str">
        <f t="shared" si="263"/>
        <v xml:space="preserve"> _distribuicao. = </v>
      </c>
      <c r="C156" s="23" t="str">
        <f t="shared" ref="C156" si="276">SUBSTITUTE(E156,"???",CONCATENATE(F156,G156,H156))</f>
        <v>0</v>
      </c>
      <c r="D156" s="23" t="s">
        <v>73</v>
      </c>
      <c r="E156" s="26">
        <f>LOOKUP(LISTAR!A156,AJUSTE!B:B,AJUSTE!F:F)</f>
        <v>0</v>
      </c>
      <c r="F156" s="30" t="s">
        <v>99</v>
      </c>
      <c r="G156" s="26" t="str">
        <f t="shared" ref="G156" si="277">C155</f>
        <v/>
      </c>
      <c r="H156" s="32" t="s">
        <v>100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>
      <c r="A157" s="24">
        <v>69</v>
      </c>
      <c r="B157" s="21" t="s">
        <v>94</v>
      </c>
      <c r="C157" s="25" t="str">
        <f>LOOKUP(A157,INICIO!A$10:A$109,INICIO!K$10:K$109)</f>
        <v/>
      </c>
      <c r="D157" s="22" t="s">
        <v>95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>
      <c r="A158" s="28">
        <f>LOOKUP(A157,INICIO!A$10:A$109,INICIO!C$10:C$109)</f>
        <v>30</v>
      </c>
      <c r="B158" s="31" t="str">
        <f t="shared" si="263"/>
        <v xml:space="preserve"> _distribuicao. = </v>
      </c>
      <c r="C158" s="23" t="str">
        <f t="shared" ref="C158" si="280">SUBSTITUTE(E158,"???",CONCATENATE(F158,G158,H158))</f>
        <v>0</v>
      </c>
      <c r="D158" s="23" t="s">
        <v>73</v>
      </c>
      <c r="E158" s="26">
        <f>LOOKUP(LISTAR!A158,AJUSTE!B:B,AJUSTE!F:F)</f>
        <v>0</v>
      </c>
      <c r="F158" s="30" t="s">
        <v>99</v>
      </c>
      <c r="G158" s="26" t="str">
        <f t="shared" ref="G158" si="281">C157</f>
        <v/>
      </c>
      <c r="H158" s="32" t="s">
        <v>100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>
      <c r="A159" s="24">
        <v>70</v>
      </c>
      <c r="B159" s="21" t="s">
        <v>94</v>
      </c>
      <c r="C159" s="25" t="str">
        <f>LOOKUP(A159,INICIO!A$10:A$109,INICIO!K$10:K$109)</f>
        <v/>
      </c>
      <c r="D159" s="22" t="s">
        <v>95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>
      <c r="A160" s="28">
        <f>LOOKUP(A159,INICIO!A$10:A$109,INICIO!C$10:C$109)</f>
        <v>30</v>
      </c>
      <c r="B160" s="31" t="str">
        <f t="shared" si="263"/>
        <v xml:space="preserve"> _distribuicao. = </v>
      </c>
      <c r="C160" s="23" t="str">
        <f t="shared" ref="C160" si="284">SUBSTITUTE(E160,"???",CONCATENATE(F160,G160,H160))</f>
        <v>0</v>
      </c>
      <c r="D160" s="23" t="s">
        <v>73</v>
      </c>
      <c r="E160" s="26">
        <f>LOOKUP(LISTAR!A160,AJUSTE!B:B,AJUSTE!F:F)</f>
        <v>0</v>
      </c>
      <c r="F160" s="30" t="s">
        <v>99</v>
      </c>
      <c r="G160" s="26" t="str">
        <f t="shared" ref="G160" si="285">C159</f>
        <v/>
      </c>
      <c r="H160" s="32" t="s">
        <v>100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>
      <c r="A161" s="24">
        <v>71</v>
      </c>
      <c r="B161" s="21" t="s">
        <v>94</v>
      </c>
      <c r="C161" s="25" t="str">
        <f>LOOKUP(A161,INICIO!A$10:A$109,INICIO!K$10:K$109)</f>
        <v/>
      </c>
      <c r="D161" s="22" t="s">
        <v>95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>
      <c r="A162" s="28">
        <f>LOOKUP(A161,INICIO!A$10:A$109,INICIO!C$10:C$109)</f>
        <v>30</v>
      </c>
      <c r="B162" s="31" t="str">
        <f t="shared" si="263"/>
        <v xml:space="preserve"> _distribuicao. = </v>
      </c>
      <c r="C162" s="23" t="str">
        <f t="shared" ref="C162" si="288">SUBSTITUTE(E162,"???",CONCATENATE(F162,G162,H162))</f>
        <v>0</v>
      </c>
      <c r="D162" s="23" t="s">
        <v>73</v>
      </c>
      <c r="E162" s="26">
        <f>LOOKUP(LISTAR!A162,AJUSTE!B:B,AJUSTE!F:F)</f>
        <v>0</v>
      </c>
      <c r="F162" s="30" t="s">
        <v>99</v>
      </c>
      <c r="G162" s="26" t="str">
        <f t="shared" ref="G162" si="289">C161</f>
        <v/>
      </c>
      <c r="H162" s="32" t="s">
        <v>100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>
      <c r="A163" s="24">
        <v>72</v>
      </c>
      <c r="B163" s="21" t="s">
        <v>94</v>
      </c>
      <c r="C163" s="25" t="str">
        <f>LOOKUP(A163,INICIO!A$10:A$109,INICIO!K$10:K$109)</f>
        <v/>
      </c>
      <c r="D163" s="22" t="s">
        <v>95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>
      <c r="A164" s="28">
        <f>LOOKUP(A163,INICIO!A$10:A$109,INICIO!C$10:C$109)</f>
        <v>30</v>
      </c>
      <c r="B164" s="31" t="str">
        <f t="shared" si="263"/>
        <v xml:space="preserve"> _distribuicao. = </v>
      </c>
      <c r="C164" s="23" t="str">
        <f t="shared" ref="C164" si="292">SUBSTITUTE(E164,"???",CONCATENATE(F164,G164,H164))</f>
        <v>0</v>
      </c>
      <c r="D164" s="23" t="s">
        <v>73</v>
      </c>
      <c r="E164" s="26">
        <f>LOOKUP(LISTAR!A164,AJUSTE!B:B,AJUSTE!F:F)</f>
        <v>0</v>
      </c>
      <c r="F164" s="30" t="s">
        <v>99</v>
      </c>
      <c r="G164" s="26" t="str">
        <f t="shared" ref="G164" si="293">C163</f>
        <v/>
      </c>
      <c r="H164" s="32" t="s">
        <v>100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>
      <c r="A165" s="24">
        <v>73</v>
      </c>
      <c r="B165" s="21" t="s">
        <v>94</v>
      </c>
      <c r="C165" s="25" t="str">
        <f>LOOKUP(A165,INICIO!A$10:A$109,INICIO!K$10:K$109)</f>
        <v/>
      </c>
      <c r="D165" s="22" t="s">
        <v>95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>
      <c r="A166" s="28">
        <f>LOOKUP(A165,INICIO!A$10:A$109,INICIO!C$10:C$109)</f>
        <v>30</v>
      </c>
      <c r="B166" s="31" t="str">
        <f t="shared" si="263"/>
        <v xml:space="preserve"> _distribuicao. = </v>
      </c>
      <c r="C166" s="23" t="str">
        <f t="shared" ref="C166" si="296">SUBSTITUTE(E166,"???",CONCATENATE(F166,G166,H166))</f>
        <v>0</v>
      </c>
      <c r="D166" s="23" t="s">
        <v>73</v>
      </c>
      <c r="E166" s="26">
        <f>LOOKUP(LISTAR!A166,AJUSTE!B:B,AJUSTE!F:F)</f>
        <v>0</v>
      </c>
      <c r="F166" s="30" t="s">
        <v>99</v>
      </c>
      <c r="G166" s="26" t="str">
        <f t="shared" ref="G166" si="297">C165</f>
        <v/>
      </c>
      <c r="H166" s="32" t="s">
        <v>100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>
      <c r="A167" s="24">
        <v>74</v>
      </c>
      <c r="B167" s="21" t="s">
        <v>94</v>
      </c>
      <c r="C167" s="25" t="str">
        <f>LOOKUP(A167,INICIO!A$10:A$109,INICIO!K$10:K$109)</f>
        <v/>
      </c>
      <c r="D167" s="22" t="s">
        <v>95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>
      <c r="A168" s="28">
        <f>LOOKUP(A167,INICIO!A$10:A$109,INICIO!C$10:C$109)</f>
        <v>30</v>
      </c>
      <c r="B168" s="31" t="str">
        <f t="shared" si="263"/>
        <v xml:space="preserve"> _distribuicao. = </v>
      </c>
      <c r="C168" s="23" t="str">
        <f t="shared" ref="C168" si="300">SUBSTITUTE(E168,"???",CONCATENATE(F168,G168,H168))</f>
        <v>0</v>
      </c>
      <c r="D168" s="23" t="s">
        <v>73</v>
      </c>
      <c r="E168" s="26">
        <f>LOOKUP(LISTAR!A168,AJUSTE!B:B,AJUSTE!F:F)</f>
        <v>0</v>
      </c>
      <c r="F168" s="30" t="s">
        <v>99</v>
      </c>
      <c r="G168" s="26" t="str">
        <f t="shared" ref="G168" si="301">C167</f>
        <v/>
      </c>
      <c r="H168" s="32" t="s">
        <v>100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>
      <c r="A169" s="24">
        <v>75</v>
      </c>
      <c r="B169" s="21" t="s">
        <v>94</v>
      </c>
      <c r="C169" s="25" t="str">
        <f>LOOKUP(A169,INICIO!A$10:A$109,INICIO!K$10:K$109)</f>
        <v/>
      </c>
      <c r="D169" s="22" t="s">
        <v>95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>
      <c r="A170" s="28">
        <f>LOOKUP(A169,INICIO!A$10:A$109,INICIO!C$10:C$109)</f>
        <v>30</v>
      </c>
      <c r="B170" s="31" t="str">
        <f t="shared" si="263"/>
        <v xml:space="preserve"> _distribuicao. = </v>
      </c>
      <c r="C170" s="23" t="str">
        <f t="shared" ref="C170" si="304">SUBSTITUTE(E170,"???",CONCATENATE(F170,G170,H170))</f>
        <v>0</v>
      </c>
      <c r="D170" s="23" t="s">
        <v>73</v>
      </c>
      <c r="E170" s="26">
        <f>LOOKUP(LISTAR!A170,AJUSTE!B:B,AJUSTE!F:F)</f>
        <v>0</v>
      </c>
      <c r="F170" s="30" t="s">
        <v>99</v>
      </c>
      <c r="G170" s="26" t="str">
        <f t="shared" ref="G170" si="305">C169</f>
        <v/>
      </c>
      <c r="H170" s="32" t="s">
        <v>100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>
      <c r="A171" s="24">
        <v>76</v>
      </c>
      <c r="B171" s="21" t="s">
        <v>94</v>
      </c>
      <c r="C171" s="25" t="str">
        <f>LOOKUP(A171,INICIO!A$10:A$109,INICIO!K$10:K$109)</f>
        <v/>
      </c>
      <c r="D171" s="22" t="s">
        <v>95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>
      <c r="A172" s="28">
        <f>LOOKUP(A171,INICIO!A$10:A$109,INICIO!C$10:C$109)</f>
        <v>30</v>
      </c>
      <c r="B172" s="31" t="str">
        <f t="shared" si="263"/>
        <v xml:space="preserve"> _distribuicao. = </v>
      </c>
      <c r="C172" s="23" t="str">
        <f t="shared" ref="C172" si="308">SUBSTITUTE(E172,"???",CONCATENATE(F172,G172,H172))</f>
        <v>0</v>
      </c>
      <c r="D172" s="23" t="s">
        <v>73</v>
      </c>
      <c r="E172" s="26">
        <f>LOOKUP(LISTAR!A172,AJUSTE!B:B,AJUSTE!F:F)</f>
        <v>0</v>
      </c>
      <c r="F172" s="30" t="s">
        <v>99</v>
      </c>
      <c r="G172" s="26" t="str">
        <f t="shared" ref="G172" si="309">C171</f>
        <v/>
      </c>
      <c r="H172" s="32" t="s">
        <v>100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>
      <c r="A173" s="24">
        <v>77</v>
      </c>
      <c r="B173" s="21" t="s">
        <v>94</v>
      </c>
      <c r="C173" s="25" t="str">
        <f>LOOKUP(A173,INICIO!A$10:A$109,INICIO!K$10:K$109)</f>
        <v/>
      </c>
      <c r="D173" s="22" t="s">
        <v>95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>
      <c r="A174" s="28">
        <f>LOOKUP(A173,INICIO!A$10:A$109,INICIO!C$10:C$109)</f>
        <v>30</v>
      </c>
      <c r="B174" s="31" t="str">
        <f t="shared" si="263"/>
        <v xml:space="preserve"> _distribuicao. = </v>
      </c>
      <c r="C174" s="23" t="str">
        <f t="shared" ref="C174" si="312">SUBSTITUTE(E174,"???",CONCATENATE(F174,G174,H174))</f>
        <v>0</v>
      </c>
      <c r="D174" s="23" t="s">
        <v>73</v>
      </c>
      <c r="E174" s="26">
        <f>LOOKUP(LISTAR!A174,AJUSTE!B:B,AJUSTE!F:F)</f>
        <v>0</v>
      </c>
      <c r="F174" s="30" t="s">
        <v>99</v>
      </c>
      <c r="G174" s="26" t="str">
        <f t="shared" ref="G174" si="313">C173</f>
        <v/>
      </c>
      <c r="H174" s="32" t="s">
        <v>100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>
      <c r="A175" s="24">
        <v>78</v>
      </c>
      <c r="B175" s="21" t="s">
        <v>94</v>
      </c>
      <c r="C175" s="25" t="str">
        <f>LOOKUP(A175,INICIO!A$10:A$109,INICIO!K$10:K$109)</f>
        <v/>
      </c>
      <c r="D175" s="22" t="s">
        <v>95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>
      <c r="A176" s="28">
        <f>LOOKUP(A175,INICIO!A$10:A$109,INICIO!C$10:C$109)</f>
        <v>30</v>
      </c>
      <c r="B176" s="31" t="str">
        <f t="shared" si="263"/>
        <v xml:space="preserve"> _distribuicao. = </v>
      </c>
      <c r="C176" s="23" t="str">
        <f t="shared" ref="C176" si="316">SUBSTITUTE(E176,"???",CONCATENATE(F176,G176,H176))</f>
        <v>0</v>
      </c>
      <c r="D176" s="23" t="s">
        <v>73</v>
      </c>
      <c r="E176" s="26">
        <f>LOOKUP(LISTAR!A176,AJUSTE!B:B,AJUSTE!F:F)</f>
        <v>0</v>
      </c>
      <c r="F176" s="30" t="s">
        <v>99</v>
      </c>
      <c r="G176" s="26" t="str">
        <f t="shared" ref="G176" si="317">C175</f>
        <v/>
      </c>
      <c r="H176" s="32" t="s">
        <v>100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>
      <c r="A177" s="24">
        <v>79</v>
      </c>
      <c r="B177" s="21" t="s">
        <v>94</v>
      </c>
      <c r="C177" s="25" t="str">
        <f>LOOKUP(A177,INICIO!A$10:A$109,INICIO!K$10:K$109)</f>
        <v/>
      </c>
      <c r="D177" s="22" t="s">
        <v>95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>
      <c r="A178" s="28">
        <f>LOOKUP(A177,INICIO!A$10:A$109,INICIO!C$10:C$109)</f>
        <v>30</v>
      </c>
      <c r="B178" s="31" t="str">
        <f t="shared" si="263"/>
        <v xml:space="preserve"> _distribuicao. = </v>
      </c>
      <c r="C178" s="23" t="str">
        <f t="shared" ref="C178" si="320">SUBSTITUTE(E178,"???",CONCATENATE(F178,G178,H178))</f>
        <v>0</v>
      </c>
      <c r="D178" s="23" t="s">
        <v>73</v>
      </c>
      <c r="E178" s="26">
        <f>LOOKUP(LISTAR!A178,AJUSTE!B:B,AJUSTE!F:F)</f>
        <v>0</v>
      </c>
      <c r="F178" s="30" t="s">
        <v>99</v>
      </c>
      <c r="G178" s="26" t="str">
        <f t="shared" ref="G178" si="321">C177</f>
        <v/>
      </c>
      <c r="H178" s="32" t="s">
        <v>100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>
      <c r="A179" s="24">
        <v>80</v>
      </c>
      <c r="B179" s="21" t="s">
        <v>94</v>
      </c>
      <c r="C179" s="25" t="str">
        <f>LOOKUP(A179,INICIO!A$10:A$109,INICIO!K$10:K$109)</f>
        <v/>
      </c>
      <c r="D179" s="22" t="s">
        <v>95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>
      <c r="A180" s="28">
        <f>LOOKUP(A179,INICIO!A$10:A$109,INICIO!C$10:C$109)</f>
        <v>30</v>
      </c>
      <c r="B180" s="31" t="str">
        <f t="shared" si="263"/>
        <v xml:space="preserve"> _distribuicao. = </v>
      </c>
      <c r="C180" s="23" t="str">
        <f t="shared" ref="C180" si="324">SUBSTITUTE(E180,"???",CONCATENATE(F180,G180,H180))</f>
        <v>0</v>
      </c>
      <c r="D180" s="23" t="s">
        <v>73</v>
      </c>
      <c r="E180" s="26">
        <f>LOOKUP(LISTAR!A180,AJUSTE!B:B,AJUSTE!F:F)</f>
        <v>0</v>
      </c>
      <c r="F180" s="30" t="s">
        <v>99</v>
      </c>
      <c r="G180" s="26" t="str">
        <f t="shared" ref="G180" si="325">C179</f>
        <v/>
      </c>
      <c r="H180" s="32" t="s">
        <v>100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>
      <c r="A181" s="24">
        <v>81</v>
      </c>
      <c r="B181" s="21" t="s">
        <v>94</v>
      </c>
      <c r="C181" s="25" t="str">
        <f>LOOKUP(A181,INICIO!A$10:A$109,INICIO!K$10:K$109)</f>
        <v/>
      </c>
      <c r="D181" s="22" t="s">
        <v>95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>
      <c r="A182" s="28">
        <f>LOOKUP(A181,INICIO!A$10:A$109,INICIO!C$10:C$109)</f>
        <v>30</v>
      </c>
      <c r="B182" s="31" t="str">
        <f t="shared" si="263"/>
        <v xml:space="preserve"> _distribuicao. = </v>
      </c>
      <c r="C182" s="23" t="str">
        <f t="shared" ref="C182" si="328">SUBSTITUTE(E182,"???",CONCATENATE(F182,G182,H182))</f>
        <v>0</v>
      </c>
      <c r="D182" s="23" t="s">
        <v>73</v>
      </c>
      <c r="E182" s="26">
        <f>LOOKUP(LISTAR!A182,AJUSTE!B:B,AJUSTE!F:F)</f>
        <v>0</v>
      </c>
      <c r="F182" s="30" t="s">
        <v>99</v>
      </c>
      <c r="G182" s="26" t="str">
        <f t="shared" ref="G182" si="329">C181</f>
        <v/>
      </c>
      <c r="H182" s="32" t="s">
        <v>100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>
      <c r="A183" s="24">
        <v>82</v>
      </c>
      <c r="B183" s="21" t="s">
        <v>94</v>
      </c>
      <c r="C183" s="25" t="str">
        <f>LOOKUP(A183,INICIO!A$10:A$109,INICIO!K$10:K$109)</f>
        <v/>
      </c>
      <c r="D183" s="22" t="s">
        <v>95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>
      <c r="A184" s="28">
        <f>LOOKUP(A183,INICIO!A$10:A$109,INICIO!C$10:C$109)</f>
        <v>30</v>
      </c>
      <c r="B184" s="31" t="str">
        <f t="shared" si="263"/>
        <v xml:space="preserve"> _distribuicao. = </v>
      </c>
      <c r="C184" s="23" t="str">
        <f t="shared" ref="C184" si="332">SUBSTITUTE(E184,"???",CONCATENATE(F184,G184,H184))</f>
        <v>0</v>
      </c>
      <c r="D184" s="23" t="s">
        <v>73</v>
      </c>
      <c r="E184" s="26">
        <f>LOOKUP(LISTAR!A184,AJUSTE!B:B,AJUSTE!F:F)</f>
        <v>0</v>
      </c>
      <c r="F184" s="30" t="s">
        <v>99</v>
      </c>
      <c r="G184" s="26" t="str">
        <f t="shared" ref="G184" si="333">C183</f>
        <v/>
      </c>
      <c r="H184" s="32" t="s">
        <v>100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>
      <c r="A185" s="24">
        <v>83</v>
      </c>
      <c r="B185" s="21" t="s">
        <v>94</v>
      </c>
      <c r="C185" s="25" t="str">
        <f>LOOKUP(A185,INICIO!A$10:A$109,INICIO!K$10:K$109)</f>
        <v/>
      </c>
      <c r="D185" s="22" t="s">
        <v>95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>
      <c r="A186" s="28">
        <f>LOOKUP(A185,INICIO!A$10:A$109,INICIO!C$10:C$109)</f>
        <v>30</v>
      </c>
      <c r="B186" s="31" t="str">
        <f t="shared" si="263"/>
        <v xml:space="preserve"> _distribuicao. = </v>
      </c>
      <c r="C186" s="23" t="str">
        <f t="shared" ref="C186" si="336">SUBSTITUTE(E186,"???",CONCATENATE(F186,G186,H186))</f>
        <v>0</v>
      </c>
      <c r="D186" s="23" t="s">
        <v>73</v>
      </c>
      <c r="E186" s="26">
        <f>LOOKUP(LISTAR!A186,AJUSTE!B:B,AJUSTE!F:F)</f>
        <v>0</v>
      </c>
      <c r="F186" s="30" t="s">
        <v>99</v>
      </c>
      <c r="G186" s="26" t="str">
        <f t="shared" ref="G186" si="337">C185</f>
        <v/>
      </c>
      <c r="H186" s="32" t="s">
        <v>100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>
      <c r="A187" s="24">
        <v>84</v>
      </c>
      <c r="B187" s="21" t="s">
        <v>94</v>
      </c>
      <c r="C187" s="25" t="str">
        <f>LOOKUP(A187,INICIO!A$10:A$109,INICIO!K$10:K$109)</f>
        <v/>
      </c>
      <c r="D187" s="22" t="s">
        <v>95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>
      <c r="A188" s="28">
        <f>LOOKUP(A187,INICIO!A$10:A$109,INICIO!C$10:C$109)</f>
        <v>30</v>
      </c>
      <c r="B188" s="31" t="str">
        <f t="shared" si="263"/>
        <v xml:space="preserve"> _distribuicao. = </v>
      </c>
      <c r="C188" s="23" t="str">
        <f t="shared" ref="C188" si="340">SUBSTITUTE(E188,"???",CONCATENATE(F188,G188,H188))</f>
        <v>0</v>
      </c>
      <c r="D188" s="23" t="s">
        <v>73</v>
      </c>
      <c r="E188" s="26">
        <f>LOOKUP(LISTAR!A188,AJUSTE!B:B,AJUSTE!F:F)</f>
        <v>0</v>
      </c>
      <c r="F188" s="30" t="s">
        <v>99</v>
      </c>
      <c r="G188" s="26" t="str">
        <f t="shared" ref="G188" si="341">C187</f>
        <v/>
      </c>
      <c r="H188" s="32" t="s">
        <v>100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>
      <c r="A189" s="24">
        <v>85</v>
      </c>
      <c r="B189" s="21" t="s">
        <v>94</v>
      </c>
      <c r="C189" s="25" t="str">
        <f>LOOKUP(A189,INICIO!A$10:A$109,INICIO!K$10:K$109)</f>
        <v/>
      </c>
      <c r="D189" s="22" t="s">
        <v>95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>
      <c r="A190" s="28">
        <f>LOOKUP(A189,INICIO!A$10:A$109,INICIO!C$10:C$109)</f>
        <v>30</v>
      </c>
      <c r="B190" s="31" t="str">
        <f t="shared" si="263"/>
        <v xml:space="preserve"> _distribuicao. = </v>
      </c>
      <c r="C190" s="23" t="str">
        <f t="shared" ref="C190" si="344">SUBSTITUTE(E190,"???",CONCATENATE(F190,G190,H190))</f>
        <v>0</v>
      </c>
      <c r="D190" s="23" t="s">
        <v>73</v>
      </c>
      <c r="E190" s="26">
        <f>LOOKUP(LISTAR!A190,AJUSTE!B:B,AJUSTE!F:F)</f>
        <v>0</v>
      </c>
      <c r="F190" s="30" t="s">
        <v>99</v>
      </c>
      <c r="G190" s="26" t="str">
        <f t="shared" ref="G190" si="345">C189</f>
        <v/>
      </c>
      <c r="H190" s="32" t="s">
        <v>100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>
      <c r="A191" s="24">
        <v>86</v>
      </c>
      <c r="B191" s="21" t="s">
        <v>94</v>
      </c>
      <c r="C191" s="25" t="str">
        <f>LOOKUP(A191,INICIO!A$10:A$109,INICIO!K$10:K$109)</f>
        <v/>
      </c>
      <c r="D191" s="22" t="s">
        <v>95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>
      <c r="A192" s="28">
        <f>LOOKUP(A191,INICIO!A$10:A$109,INICIO!C$10:C$109)</f>
        <v>30</v>
      </c>
      <c r="B192" s="31" t="str">
        <f t="shared" si="263"/>
        <v xml:space="preserve"> _distribuicao. = </v>
      </c>
      <c r="C192" s="23" t="str">
        <f t="shared" ref="C192" si="348">SUBSTITUTE(E192,"???",CONCATENATE(F192,G192,H192))</f>
        <v>0</v>
      </c>
      <c r="D192" s="23" t="s">
        <v>73</v>
      </c>
      <c r="E192" s="26">
        <f>LOOKUP(LISTAR!A192,AJUSTE!B:B,AJUSTE!F:F)</f>
        <v>0</v>
      </c>
      <c r="F192" s="30" t="s">
        <v>99</v>
      </c>
      <c r="G192" s="26" t="str">
        <f t="shared" ref="G192" si="349">C191</f>
        <v/>
      </c>
      <c r="H192" s="32" t="s">
        <v>100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>
      <c r="A193" s="24">
        <v>87</v>
      </c>
      <c r="B193" s="21" t="s">
        <v>94</v>
      </c>
      <c r="C193" s="25" t="str">
        <f>LOOKUP(A193,INICIO!A$10:A$109,INICIO!K$10:K$109)</f>
        <v/>
      </c>
      <c r="D193" s="22" t="s">
        <v>95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>
      <c r="A194" s="28">
        <f>LOOKUP(A193,INICIO!A$10:A$109,INICIO!C$10:C$109)</f>
        <v>30</v>
      </c>
      <c r="B194" s="31" t="str">
        <f t="shared" si="263"/>
        <v xml:space="preserve"> _distribuicao. = </v>
      </c>
      <c r="C194" s="23" t="str">
        <f t="shared" ref="C194" si="352">SUBSTITUTE(E194,"???",CONCATENATE(F194,G194,H194))</f>
        <v>0</v>
      </c>
      <c r="D194" s="23" t="s">
        <v>73</v>
      </c>
      <c r="E194" s="26">
        <f>LOOKUP(LISTAR!A194,AJUSTE!B:B,AJUSTE!F:F)</f>
        <v>0</v>
      </c>
      <c r="F194" s="30" t="s">
        <v>99</v>
      </c>
      <c r="G194" s="26" t="str">
        <f t="shared" ref="G194" si="353">C193</f>
        <v/>
      </c>
      <c r="H194" s="32" t="s">
        <v>100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>
      <c r="A195" s="24">
        <v>88</v>
      </c>
      <c r="B195" s="21" t="s">
        <v>94</v>
      </c>
      <c r="C195" s="25" t="str">
        <f>LOOKUP(A195,INICIO!A$10:A$109,INICIO!K$10:K$109)</f>
        <v/>
      </c>
      <c r="D195" s="22" t="s">
        <v>95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>
      <c r="A196" s="28">
        <f>LOOKUP(A195,INICIO!A$10:A$109,INICIO!C$10:C$109)</f>
        <v>30</v>
      </c>
      <c r="B196" s="31" t="str">
        <f t="shared" si="263"/>
        <v xml:space="preserve"> _distribuicao. = </v>
      </c>
      <c r="C196" s="23" t="str">
        <f t="shared" ref="C196" si="357">SUBSTITUTE(E196,"???",CONCATENATE(F196,G196,H196))</f>
        <v>0</v>
      </c>
      <c r="D196" s="23" t="s">
        <v>73</v>
      </c>
      <c r="E196" s="26">
        <f>LOOKUP(LISTAR!A196,AJUSTE!B:B,AJUSTE!F:F)</f>
        <v>0</v>
      </c>
      <c r="F196" s="30" t="s">
        <v>99</v>
      </c>
      <c r="G196" s="26" t="str">
        <f t="shared" ref="G196" si="358">C195</f>
        <v/>
      </c>
      <c r="H196" s="32" t="s">
        <v>100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>
      <c r="A197" s="24">
        <v>89</v>
      </c>
      <c r="B197" s="21" t="s">
        <v>94</v>
      </c>
      <c r="C197" s="25" t="str">
        <f>LOOKUP(A197,INICIO!A$10:A$109,INICIO!K$10:K$109)</f>
        <v/>
      </c>
      <c r="D197" s="22" t="s">
        <v>95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>
      <c r="A198" s="28">
        <f>LOOKUP(A197,INICIO!A$10:A$109,INICIO!C$10:C$109)</f>
        <v>30</v>
      </c>
      <c r="B198" s="31" t="str">
        <f t="shared" si="263"/>
        <v xml:space="preserve"> _distribuicao. = </v>
      </c>
      <c r="C198" s="23" t="str">
        <f t="shared" ref="C198" si="361">SUBSTITUTE(E198,"???",CONCATENATE(F198,G198,H198))</f>
        <v>0</v>
      </c>
      <c r="D198" s="23" t="s">
        <v>73</v>
      </c>
      <c r="E198" s="26">
        <f>LOOKUP(LISTAR!A198,AJUSTE!B:B,AJUSTE!F:F)</f>
        <v>0</v>
      </c>
      <c r="F198" s="30" t="s">
        <v>99</v>
      </c>
      <c r="G198" s="26" t="str">
        <f t="shared" ref="G198" si="362">C197</f>
        <v/>
      </c>
      <c r="H198" s="32" t="s">
        <v>100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>
      <c r="A199" s="24">
        <v>90</v>
      </c>
      <c r="B199" s="21" t="s">
        <v>94</v>
      </c>
      <c r="C199" s="25" t="str">
        <f>LOOKUP(A199,INICIO!A$10:A$109,INICIO!K$10:K$109)</f>
        <v/>
      </c>
      <c r="D199" s="22" t="s">
        <v>95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>
      <c r="A200" s="28">
        <f>LOOKUP(A199,INICIO!A$10:A$109,INICIO!C$10:C$109)</f>
        <v>30</v>
      </c>
      <c r="B200" s="31" t="str">
        <f t="shared" si="263"/>
        <v xml:space="preserve"> _distribuicao. = </v>
      </c>
      <c r="C200" s="23" t="str">
        <f t="shared" ref="C200" si="365">SUBSTITUTE(E200,"???",CONCATENATE(F200,G200,H200))</f>
        <v>0</v>
      </c>
      <c r="D200" s="23" t="s">
        <v>73</v>
      </c>
      <c r="E200" s="26">
        <f>LOOKUP(LISTAR!A200,AJUSTE!B:B,AJUSTE!F:F)</f>
        <v>0</v>
      </c>
      <c r="F200" s="30" t="s">
        <v>99</v>
      </c>
      <c r="G200" s="26" t="str">
        <f t="shared" ref="G200" si="366">C199</f>
        <v/>
      </c>
      <c r="H200" s="32" t="s">
        <v>100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>
      <c r="A201" s="24">
        <v>91</v>
      </c>
      <c r="B201" s="21" t="s">
        <v>94</v>
      </c>
      <c r="C201" s="25" t="str">
        <f>LOOKUP(A201,INICIO!A$10:A$109,INICIO!K$10:K$109)</f>
        <v/>
      </c>
      <c r="D201" s="22" t="s">
        <v>95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>
      <c r="A202" s="28">
        <f>LOOKUP(A201,INICIO!A$10:A$109,INICIO!C$10:C$109)</f>
        <v>30</v>
      </c>
      <c r="B202" s="31" t="str">
        <f t="shared" si="263"/>
        <v xml:space="preserve"> _distribuicao. = </v>
      </c>
      <c r="C202" s="23" t="str">
        <f t="shared" ref="C202" si="369">SUBSTITUTE(E202,"???",CONCATENATE(F202,G202,H202))</f>
        <v>0</v>
      </c>
      <c r="D202" s="23" t="s">
        <v>73</v>
      </c>
      <c r="E202" s="26">
        <f>LOOKUP(LISTAR!A202,AJUSTE!B:B,AJUSTE!F:F)</f>
        <v>0</v>
      </c>
      <c r="F202" s="30" t="s">
        <v>99</v>
      </c>
      <c r="G202" s="26" t="str">
        <f t="shared" ref="G202" si="370">C201</f>
        <v/>
      </c>
      <c r="H202" s="32" t="s">
        <v>100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>
      <c r="A203" s="24">
        <v>92</v>
      </c>
      <c r="B203" s="21" t="s">
        <v>94</v>
      </c>
      <c r="C203" s="25" t="str">
        <f>LOOKUP(A203,INICIO!A$10:A$109,INICIO!K$10:K$109)</f>
        <v/>
      </c>
      <c r="D203" s="22" t="s">
        <v>95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>
      <c r="A204" s="28">
        <f>LOOKUP(A203,INICIO!A$10:A$109,INICIO!C$10:C$109)</f>
        <v>30</v>
      </c>
      <c r="B204" s="31" t="str">
        <f t="shared" si="263"/>
        <v xml:space="preserve"> _distribuicao. = </v>
      </c>
      <c r="C204" s="23" t="str">
        <f t="shared" ref="C204" si="373">SUBSTITUTE(E204,"???",CONCATENATE(F204,G204,H204))</f>
        <v>0</v>
      </c>
      <c r="D204" s="23" t="s">
        <v>73</v>
      </c>
      <c r="E204" s="26">
        <f>LOOKUP(LISTAR!A204,AJUSTE!B:B,AJUSTE!F:F)</f>
        <v>0</v>
      </c>
      <c r="F204" s="30" t="s">
        <v>99</v>
      </c>
      <c r="G204" s="26" t="str">
        <f t="shared" ref="G204" si="374">C203</f>
        <v/>
      </c>
      <c r="H204" s="32" t="s">
        <v>100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>
      <c r="A205" s="24">
        <v>93</v>
      </c>
      <c r="B205" s="21" t="s">
        <v>94</v>
      </c>
      <c r="C205" s="25" t="str">
        <f>LOOKUP(A205,INICIO!A$10:A$109,INICIO!K$10:K$109)</f>
        <v/>
      </c>
      <c r="D205" s="22" t="s">
        <v>95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>
      <c r="A206" s="28">
        <f>LOOKUP(A205,INICIO!A$10:A$109,INICIO!C$10:C$109)</f>
        <v>30</v>
      </c>
      <c r="B206" s="31" t="str">
        <f t="shared" si="263"/>
        <v xml:space="preserve"> _distribuicao. = </v>
      </c>
      <c r="C206" s="23" t="str">
        <f t="shared" ref="C206" si="377">SUBSTITUTE(E206,"???",CONCATENATE(F206,G206,H206))</f>
        <v>0</v>
      </c>
      <c r="D206" s="23" t="s">
        <v>73</v>
      </c>
      <c r="E206" s="26">
        <f>LOOKUP(LISTAR!A206,AJUSTE!B:B,AJUSTE!F:F)</f>
        <v>0</v>
      </c>
      <c r="F206" s="30" t="s">
        <v>99</v>
      </c>
      <c r="G206" s="26" t="str">
        <f t="shared" ref="G206" si="378">C205</f>
        <v/>
      </c>
      <c r="H206" s="32" t="s">
        <v>100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>
      <c r="A207" s="24">
        <v>94</v>
      </c>
      <c r="B207" s="21" t="s">
        <v>94</v>
      </c>
      <c r="C207" s="25" t="str">
        <f>LOOKUP(A207,INICIO!A$10:A$109,INICIO!K$10:K$109)</f>
        <v/>
      </c>
      <c r="D207" s="22" t="s">
        <v>95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>
      <c r="A208" s="28">
        <f>LOOKUP(A207,INICIO!A$10:A$109,INICIO!C$10:C$109)</f>
        <v>30</v>
      </c>
      <c r="B208" s="31" t="str">
        <f t="shared" si="263"/>
        <v xml:space="preserve"> _distribuicao. = </v>
      </c>
      <c r="C208" s="23" t="str">
        <f t="shared" ref="C208" si="381">SUBSTITUTE(E208,"???",CONCATENATE(F208,G208,H208))</f>
        <v>0</v>
      </c>
      <c r="D208" s="23" t="s">
        <v>73</v>
      </c>
      <c r="E208" s="26">
        <f>LOOKUP(LISTAR!A208,AJUSTE!B:B,AJUSTE!F:F)</f>
        <v>0</v>
      </c>
      <c r="F208" s="30" t="s">
        <v>99</v>
      </c>
      <c r="G208" s="26" t="str">
        <f t="shared" ref="G208" si="382">C207</f>
        <v/>
      </c>
      <c r="H208" s="32" t="s">
        <v>100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>
      <c r="A209" s="24">
        <v>95</v>
      </c>
      <c r="B209" s="21" t="s">
        <v>94</v>
      </c>
      <c r="C209" s="25" t="str">
        <f>LOOKUP(A209,INICIO!A$10:A$109,INICIO!K$10:K$109)</f>
        <v/>
      </c>
      <c r="D209" s="22" t="s">
        <v>95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>
      <c r="A210" s="28">
        <f>LOOKUP(A209,INICIO!A$10:A$109,INICIO!C$10:C$109)</f>
        <v>30</v>
      </c>
      <c r="B210" s="31" t="str">
        <f t="shared" si="263"/>
        <v xml:space="preserve"> _distribuicao. = </v>
      </c>
      <c r="C210" s="23" t="str">
        <f t="shared" ref="C210" si="385">SUBSTITUTE(E210,"???",CONCATENATE(F210,G210,H210))</f>
        <v>0</v>
      </c>
      <c r="D210" s="23" t="s">
        <v>73</v>
      </c>
      <c r="E210" s="26">
        <f>LOOKUP(LISTAR!A210,AJUSTE!B:B,AJUSTE!F:F)</f>
        <v>0</v>
      </c>
      <c r="F210" s="30" t="s">
        <v>99</v>
      </c>
      <c r="G210" s="26" t="str">
        <f t="shared" ref="G210" si="386">C209</f>
        <v/>
      </c>
      <c r="H210" s="32" t="s">
        <v>100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>
      <c r="A211" s="24">
        <v>96</v>
      </c>
      <c r="B211" s="21" t="s">
        <v>94</v>
      </c>
      <c r="C211" s="25" t="str">
        <f>LOOKUP(A211,INICIO!A$10:A$109,INICIO!K$10:K$109)</f>
        <v/>
      </c>
      <c r="D211" s="22" t="s">
        <v>95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>
      <c r="A212" s="28">
        <f>LOOKUP(A211,INICIO!A$10:A$109,INICIO!C$10:C$109)</f>
        <v>30</v>
      </c>
      <c r="B212" s="31" t="str">
        <f t="shared" si="263"/>
        <v xml:space="preserve"> _distribuicao. = </v>
      </c>
      <c r="C212" s="23" t="str">
        <f t="shared" ref="C212" si="389">SUBSTITUTE(E212,"???",CONCATENATE(F212,G212,H212))</f>
        <v>0</v>
      </c>
      <c r="D212" s="23" t="s">
        <v>73</v>
      </c>
      <c r="E212" s="26">
        <f>LOOKUP(LISTAR!A212,AJUSTE!B:B,AJUSTE!F:F)</f>
        <v>0</v>
      </c>
      <c r="F212" s="30" t="s">
        <v>99</v>
      </c>
      <c r="G212" s="26" t="str">
        <f t="shared" ref="G212" si="390">C211</f>
        <v/>
      </c>
      <c r="H212" s="32" t="s">
        <v>100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>
      <c r="A213" s="24">
        <v>97</v>
      </c>
      <c r="B213" s="21" t="s">
        <v>94</v>
      </c>
      <c r="C213" s="25" t="str">
        <f>LOOKUP(A213,INICIO!A$10:A$109,INICIO!K$10:K$109)</f>
        <v/>
      </c>
      <c r="D213" s="22" t="s">
        <v>95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>
      <c r="A214" s="28">
        <f>LOOKUP(A213,INICIO!A$10:A$109,INICIO!C$10:C$109)</f>
        <v>30</v>
      </c>
      <c r="B214" s="31" t="str">
        <f t="shared" ref="B214:B222" si="393">CONCATENATE(C$19,".",C213," = ")</f>
        <v xml:space="preserve"> _distribuicao. = </v>
      </c>
      <c r="C214" s="23" t="str">
        <f t="shared" ref="C214" si="394">SUBSTITUTE(E214,"???",CONCATENATE(F214,G214,H214))</f>
        <v>0</v>
      </c>
      <c r="D214" s="23" t="s">
        <v>73</v>
      </c>
      <c r="E214" s="26">
        <f>LOOKUP(LISTAR!A214,AJUSTE!B:B,AJUSTE!F:F)</f>
        <v>0</v>
      </c>
      <c r="F214" s="30" t="s">
        <v>99</v>
      </c>
      <c r="G214" s="26" t="str">
        <f t="shared" ref="G214" si="395">C213</f>
        <v/>
      </c>
      <c r="H214" s="32" t="s">
        <v>100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>
      <c r="A215" s="24">
        <v>98</v>
      </c>
      <c r="B215" s="21" t="s">
        <v>94</v>
      </c>
      <c r="C215" s="25" t="str">
        <f>LOOKUP(A215,INICIO!A$10:A$109,INICIO!K$10:K$109)</f>
        <v/>
      </c>
      <c r="D215" s="22" t="s">
        <v>95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>
      <c r="A216" s="28">
        <f>LOOKUP(A215,INICIO!A$10:A$109,INICIO!C$10:C$109)</f>
        <v>30</v>
      </c>
      <c r="B216" s="31" t="str">
        <f t="shared" si="393"/>
        <v xml:space="preserve"> _distribuicao. = </v>
      </c>
      <c r="C216" s="23" t="str">
        <f t="shared" ref="C216" si="398">SUBSTITUTE(E216,"???",CONCATENATE(F216,G216,H216))</f>
        <v>0</v>
      </c>
      <c r="D216" s="23" t="s">
        <v>73</v>
      </c>
      <c r="E216" s="26">
        <f>LOOKUP(LISTAR!A216,AJUSTE!B:B,AJUSTE!F:F)</f>
        <v>0</v>
      </c>
      <c r="F216" s="30" t="s">
        <v>99</v>
      </c>
      <c r="G216" s="26" t="str">
        <f t="shared" ref="G216" si="399">C215</f>
        <v/>
      </c>
      <c r="H216" s="32" t="s">
        <v>100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>
      <c r="A217" s="24">
        <v>99</v>
      </c>
      <c r="B217" s="21" t="s">
        <v>94</v>
      </c>
      <c r="C217" s="25" t="str">
        <f>LOOKUP(A217,INICIO!A$10:A$109,INICIO!K$10:K$109)</f>
        <v/>
      </c>
      <c r="D217" s="22" t="s">
        <v>95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>
      <c r="A218" s="28">
        <f>LOOKUP(A217,INICIO!A$10:A$109,INICIO!C$10:C$109)</f>
        <v>30</v>
      </c>
      <c r="B218" s="31" t="str">
        <f t="shared" si="393"/>
        <v xml:space="preserve"> _distribuicao. = </v>
      </c>
      <c r="C218" s="23" t="str">
        <f t="shared" ref="C218" si="402">SUBSTITUTE(E218,"???",CONCATENATE(F218,G218,H218))</f>
        <v>0</v>
      </c>
      <c r="D218" s="23" t="s">
        <v>73</v>
      </c>
      <c r="E218" s="26">
        <f>LOOKUP(LISTAR!A218,AJUSTE!B:B,AJUSTE!F:F)</f>
        <v>0</v>
      </c>
      <c r="F218" s="30" t="s">
        <v>99</v>
      </c>
      <c r="G218" s="26" t="str">
        <f t="shared" ref="G218" si="403">C217</f>
        <v/>
      </c>
      <c r="H218" s="32" t="s">
        <v>100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>
      <c r="A219" s="24">
        <v>100</v>
      </c>
      <c r="B219" s="21" t="s">
        <v>94</v>
      </c>
      <c r="C219" s="25" t="str">
        <f>LOOKUP(A219,INICIO!A$10:A$109,INICIO!K$10:K$109)</f>
        <v/>
      </c>
      <c r="D219" s="22" t="s">
        <v>95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>
      <c r="A220" s="28">
        <f>LOOKUP(A219,INICIO!A$10:A$109,INICIO!C$10:C$109)</f>
        <v>30</v>
      </c>
      <c r="B220" s="31" t="str">
        <f t="shared" si="393"/>
        <v xml:space="preserve"> _distribuicao. = </v>
      </c>
      <c r="C220" s="23" t="str">
        <f t="shared" ref="C220" si="406">SUBSTITUTE(E220,"???",CONCATENATE(F220,G220,H220))</f>
        <v>0</v>
      </c>
      <c r="D220" s="23" t="s">
        <v>73</v>
      </c>
      <c r="E220" s="26">
        <f>LOOKUP(LISTAR!A220,AJUSTE!B:B,AJUSTE!F:F)</f>
        <v>0</v>
      </c>
      <c r="F220" s="30" t="s">
        <v>99</v>
      </c>
      <c r="G220" s="26" t="str">
        <f t="shared" ref="G220" si="407">C219</f>
        <v/>
      </c>
      <c r="H220" s="32" t="s">
        <v>100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>
      <c r="A221" s="24">
        <v>101</v>
      </c>
      <c r="B221" s="21" t="s">
        <v>94</v>
      </c>
      <c r="C221" s="25" t="str">
        <f>LOOKUP(A221,INICIO!A$10:A$109,INICIO!K$10:K$109)</f>
        <v/>
      </c>
      <c r="D221" s="22" t="s">
        <v>95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>
      <c r="A222" s="28">
        <f>LOOKUP(A221,INICIO!A$10:A$109,INICIO!C$10:C$109)</f>
        <v>30</v>
      </c>
      <c r="B222" s="31" t="str">
        <f t="shared" si="393"/>
        <v xml:space="preserve"> _distribuicao. = </v>
      </c>
      <c r="C222" s="23" t="str">
        <f t="shared" ref="C222" si="410">SUBSTITUTE(E222,"???",CONCATENATE(F222,G222,H222))</f>
        <v>0</v>
      </c>
      <c r="D222" s="23" t="s">
        <v>73</v>
      </c>
      <c r="E222" s="26">
        <f>LOOKUP(LISTAR!A222,AJUSTE!B:B,AJUSTE!F:F)</f>
        <v>0</v>
      </c>
      <c r="F222" s="30" t="s">
        <v>99</v>
      </c>
      <c r="G222" s="26" t="str">
        <f t="shared" ref="G222" si="411">C221</f>
        <v/>
      </c>
      <c r="H222" s="32" t="s">
        <v>100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>
      <c r="A223" s="33"/>
      <c r="B223" s="33" t="s">
        <v>123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>
      <c r="B224" t="str">
        <f>D14</f>
        <v>ListadeDistribuicao</v>
      </c>
      <c r="C224" t="s">
        <v>97</v>
      </c>
      <c r="D224" t="str">
        <f>C19</f>
        <v xml:space="preserve"> _distribuicao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ListadeDistribuicao.Add( _distribuicao);</v>
      </c>
    </row>
    <row r="225" spans="2:12">
      <c r="B225" t="s">
        <v>72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>
      <c r="B226" t="s">
        <v>98</v>
      </c>
      <c r="C226" t="str">
        <f>B224</f>
        <v>ListadeDistribuicao</v>
      </c>
      <c r="D226" t="s">
        <v>73</v>
      </c>
      <c r="K226" s="38">
        <f t="shared" si="355"/>
        <v>1</v>
      </c>
      <c r="L226" s="9" t="str">
        <f>CONCATENATE("                    ",B226,C226,D226,E226,F226)</f>
        <v xml:space="preserve">                    return ListadeDistribuicao;</v>
      </c>
    </row>
    <row r="227" spans="2:12">
      <c r="B227" t="s">
        <v>72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>
      <c r="B228" t="s">
        <v>83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>
      <c r="B230" t="s">
        <v>84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>
      <c r="B232" t="s">
        <v>83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>
      <c r="B234" t="s">
        <v>122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>
      <c r="B235" t="s">
        <v>71</v>
      </c>
      <c r="K235" s="38">
        <f t="shared" si="355"/>
        <v>1</v>
      </c>
      <c r="L235" s="9" t="str">
        <f t="shared" si="414"/>
        <v xml:space="preserve">        }</v>
      </c>
    </row>
    <row r="236" spans="2:12">
      <c r="B236" t="s">
        <v>120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 filterMode="1">
    <tabColor rgb="FFFFFF00"/>
  </sheetPr>
  <dimension ref="A1:M240"/>
  <sheetViews>
    <sheetView showGridLines="0" topLeftCell="J1" workbookViewId="0">
      <selection activeCell="L26" sqref="L26"/>
    </sheetView>
  </sheetViews>
  <sheetFormatPr defaultRowHeight="15"/>
  <cols>
    <col min="1" max="1" width="9.140625" hidden="1" customWidth="1"/>
    <col min="2" max="2" width="56" hidden="1" customWidth="1"/>
    <col min="3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3">
      <c r="K1" s="108">
        <v>1</v>
      </c>
    </row>
    <row r="2" spans="2:13">
      <c r="K2" t="str">
        <f>LOOKUP(K1,INICIO!A10:A109,INICIO!K10:K109)</f>
        <v>Dis_Id</v>
      </c>
      <c r="M2" s="111" t="s">
        <v>162</v>
      </c>
    </row>
    <row r="3" spans="2:13">
      <c r="K3" t="str">
        <f>LOOKUP(K1,INICIO!A10:A109,INICIO!L10:L109)</f>
        <v>int</v>
      </c>
    </row>
    <row r="4" spans="2:13">
      <c r="K4" s="2">
        <v>1</v>
      </c>
      <c r="L4" s="35" t="s">
        <v>145</v>
      </c>
    </row>
    <row r="5" spans="2:13">
      <c r="B5" t="s">
        <v>158</v>
      </c>
      <c r="C5" t="str">
        <f>INICIO!D5</f>
        <v>Distribuicao</v>
      </c>
      <c r="D5" s="1" t="str">
        <f>CONCATENATE(" _PesquisarPor",LOOKUP(K1,INICIO!A10:A109,INICIO!B10:B109)," ( ",K3," _",K2," , string stringConnect)")</f>
        <v xml:space="preserve"> _PesquisarPorId ( int _Dis_Id , string stringConnect)</v>
      </c>
      <c r="K5" s="38">
        <f>IF(L5&lt;&gt;"",1,0)</f>
        <v>1</v>
      </c>
      <c r="L5" s="9" t="str">
        <f t="shared" ref="L5:L17" si="0">CONCATENATE(B5,C5,D5,E5,F5)</f>
        <v xml:space="preserve">        public Distribuicao _PesquisarPorId ( int _Dis_Id , string stringConnect)</v>
      </c>
    </row>
    <row r="6" spans="2:13">
      <c r="B6" t="s">
        <v>70</v>
      </c>
      <c r="K6" s="38">
        <f t="shared" ref="K6:K70" si="1">IF(L6&lt;&gt;"",1,0)</f>
        <v>1</v>
      </c>
      <c r="L6" s="9" t="str">
        <f t="shared" si="0"/>
        <v xml:space="preserve">        {</v>
      </c>
    </row>
    <row r="7" spans="2:13">
      <c r="B7" s="1" t="str">
        <f>INICIO!D5</f>
        <v>Distribuicao</v>
      </c>
      <c r="C7" s="1" t="str">
        <f>CONCATENATE(" _",LOWER(B7))</f>
        <v xml:space="preserve"> _distribuicao</v>
      </c>
      <c r="D7" t="s">
        <v>92</v>
      </c>
      <c r="E7" s="1" t="str">
        <f>B7</f>
        <v>Distribuicao</v>
      </c>
      <c r="F7" t="s">
        <v>93</v>
      </c>
      <c r="K7" s="38">
        <f>IF(L7&lt;&gt;"",1,0)</f>
        <v>1</v>
      </c>
      <c r="L7" s="9" t="str">
        <f>CONCATENATE("           ",B7,C7,D7,E7,F7)</f>
        <v xml:space="preserve">           Distribuicao _distribuicao = new Distribuicao();</v>
      </c>
    </row>
    <row r="8" spans="2:13">
      <c r="B8" t="s">
        <v>80</v>
      </c>
      <c r="K8" s="38">
        <f t="shared" si="1"/>
        <v>1</v>
      </c>
      <c r="L8" s="9" t="str">
        <f t="shared" si="0"/>
        <v xml:space="preserve">            try</v>
      </c>
    </row>
    <row r="9" spans="2:13">
      <c r="B9" t="s">
        <v>11</v>
      </c>
      <c r="K9" s="38">
        <f t="shared" si="1"/>
        <v>1</v>
      </c>
      <c r="L9" s="9" t="str">
        <f t="shared" si="0"/>
        <v xml:space="preserve">            {</v>
      </c>
    </row>
    <row r="10" spans="2:13">
      <c r="B10" t="s">
        <v>85</v>
      </c>
      <c r="K10" s="38">
        <f t="shared" si="1"/>
        <v>1</v>
      </c>
      <c r="L10" s="9" t="str">
        <f t="shared" si="0"/>
        <v xml:space="preserve">                MySqlConnection conexao = new MySqlConnection(stringConnect);</v>
      </c>
    </row>
    <row r="11" spans="2:13">
      <c r="B11" t="s">
        <v>137</v>
      </c>
      <c r="K11" s="38">
        <f t="shared" si="1"/>
        <v>1</v>
      </c>
      <c r="L11" s="9" t="str">
        <f t="shared" si="0"/>
        <v xml:space="preserve">     </v>
      </c>
    </row>
    <row r="12" spans="2:13">
      <c r="B12" t="s">
        <v>81</v>
      </c>
      <c r="K12" s="38">
        <f t="shared" si="1"/>
        <v>1</v>
      </c>
      <c r="L12" s="9" t="str">
        <f t="shared" si="0"/>
        <v xml:space="preserve">                if (conexao.State == ConnectionState.Closed)</v>
      </c>
    </row>
    <row r="13" spans="2:13">
      <c r="B13" t="s">
        <v>26</v>
      </c>
      <c r="K13" s="38">
        <f t="shared" si="1"/>
        <v>1</v>
      </c>
      <c r="L13" s="9" t="str">
        <f t="shared" si="0"/>
        <v xml:space="preserve">                {</v>
      </c>
    </row>
    <row r="14" spans="2:13">
      <c r="B14" t="s">
        <v>82</v>
      </c>
      <c r="K14" s="38">
        <f t="shared" si="1"/>
        <v>1</v>
      </c>
      <c r="L14" s="9" t="str">
        <f t="shared" si="0"/>
        <v xml:space="preserve">                    conexao.Open();</v>
      </c>
    </row>
    <row r="15" spans="2:13">
      <c r="B15" t="s">
        <v>29</v>
      </c>
      <c r="K15" s="38">
        <f t="shared" si="1"/>
        <v>1</v>
      </c>
      <c r="L15" s="9" t="str">
        <f t="shared" si="0"/>
        <v xml:space="preserve">                }</v>
      </c>
    </row>
    <row r="16" spans="2:13">
      <c r="B16" t="s">
        <v>25</v>
      </c>
      <c r="K16" s="38">
        <f t="shared" si="1"/>
        <v>1</v>
      </c>
      <c r="L16" s="9" t="str">
        <f t="shared" si="0"/>
        <v xml:space="preserve">                if (conexao.State == ConnectionState.Open)</v>
      </c>
    </row>
    <row r="17" spans="1:12">
      <c r="B17" t="s">
        <v>26</v>
      </c>
      <c r="K17" s="38">
        <f t="shared" si="1"/>
        <v>1</v>
      </c>
      <c r="L17" s="9" t="str">
        <f t="shared" si="0"/>
        <v xml:space="preserve">                {</v>
      </c>
    </row>
    <row r="18" spans="1:12" hidden="1">
      <c r="B18" t="s">
        <v>86</v>
      </c>
      <c r="C18" s="1" t="str">
        <f>CONCATENATE(INICIO!D5,"&gt; ")</f>
        <v xml:space="preserve">Distribuicao&gt; </v>
      </c>
      <c r="D18" s="1" t="str">
        <f>CONCATENATE("Listade",INICIO!D5)</f>
        <v>ListadeDistribuicao</v>
      </c>
      <c r="E18" s="27" t="s">
        <v>96</v>
      </c>
      <c r="F18" s="1" t="str">
        <f>CONCATENATE(INICIO!D5,"&gt;();")</f>
        <v>Distribuicao&gt;();</v>
      </c>
      <c r="G18" t="s">
        <v>65</v>
      </c>
      <c r="K18" s="38">
        <f t="shared" si="1"/>
        <v>0</v>
      </c>
      <c r="L18" s="109"/>
    </row>
    <row r="19" spans="1:12">
      <c r="B19" t="s">
        <v>88</v>
      </c>
      <c r="C19" s="1" t="str">
        <f>INICIO!D3</f>
        <v>Distribuicao</v>
      </c>
      <c r="D19" t="str">
        <f>CONCATENATE(" where ",K2," = '",G18," "," +"," _",K2,".ToString() + ",G18,"'",G18)</f>
        <v xml:space="preserve"> where Dis_Id = '"  + _Dis_Id.ToString() + "'"</v>
      </c>
      <c r="F19" t="s">
        <v>160</v>
      </c>
      <c r="K19" s="38">
        <f t="shared" si="1"/>
        <v>1</v>
      </c>
      <c r="L19" s="9" t="str">
        <f t="shared" ref="L19:L22" si="2">CONCATENATE("                    ",B19,C19,D19,E19,F19)</f>
        <v xml:space="preserve">                    var sql = new MySqlCommand(" Select * from Distribuicao where Dis_Id = '"  + _Dis_Id.ToString() + "'", conexao);</v>
      </c>
    </row>
    <row r="20" spans="1:12">
      <c r="B20" t="s">
        <v>90</v>
      </c>
      <c r="K20" s="38">
        <f t="shared" si="1"/>
        <v>1</v>
      </c>
      <c r="L20" s="9" t="str">
        <f t="shared" si="2"/>
        <v xml:space="preserve">                    MySqlDataReader MySqlDR = sql.ExecuteReader();</v>
      </c>
    </row>
    <row r="21" spans="1:12">
      <c r="B21" t="s">
        <v>91</v>
      </c>
      <c r="K21" s="38">
        <f t="shared" si="1"/>
        <v>1</v>
      </c>
      <c r="L21" s="9" t="str">
        <f t="shared" si="2"/>
        <v xml:space="preserve">                    while (MySqlDR.Read())</v>
      </c>
    </row>
    <row r="22" spans="1:12">
      <c r="B22" t="s">
        <v>13</v>
      </c>
      <c r="K22" s="38">
        <f t="shared" si="1"/>
        <v>1</v>
      </c>
      <c r="L22" s="9" t="str">
        <f t="shared" si="2"/>
        <v xml:space="preserve">                    {</v>
      </c>
    </row>
    <row r="23" spans="1:12" hidden="1"/>
    <row r="24" spans="1:12" s="4" customFormat="1">
      <c r="B24" s="4" t="s">
        <v>121</v>
      </c>
      <c r="K24" s="38">
        <f t="shared" si="1"/>
        <v>1</v>
      </c>
      <c r="L24" s="9" t="str">
        <f>CONCATENATE("                        ",B24,C24,D24,E24,F24)</f>
        <v xml:space="preserve">                        // Propriedades da Classe</v>
      </c>
    </row>
    <row r="25" spans="1:12">
      <c r="A25" s="24">
        <v>1</v>
      </c>
      <c r="B25" s="21" t="s">
        <v>94</v>
      </c>
      <c r="C25" s="25" t="str">
        <f>LOOKUP(A25,INICIO!A$10:A$109,INICIO!K$10:K$109)</f>
        <v>Dis_Id</v>
      </c>
      <c r="D25" s="22" t="s">
        <v>95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>IF(H25,CONCATENATE("                        ",B25,C25,D25),"")</f>
        <v xml:space="preserve">                        if (MySqlDR["Dis_Id"] != DBNull.Value)</v>
      </c>
    </row>
    <row r="26" spans="1:12">
      <c r="A26" s="28">
        <f>LOOKUP(A25,INICIO!A$10:A$109,INICIO!C$10:C$109)</f>
        <v>2</v>
      </c>
      <c r="B26" s="31" t="str">
        <f>CONCATENATE(C$7,".",C25," = ")</f>
        <v xml:space="preserve"> _distribuicao.Dis_Id = </v>
      </c>
      <c r="C26" s="23" t="str">
        <f t="shared" ref="C26" si="3">SUBSTITUTE(E26,"???",CONCATENATE(F26,G26,H26))</f>
        <v xml:space="preserve"> Convert.ToInt32(MySqlDR["Dis_Id"])</v>
      </c>
      <c r="D26" s="23" t="s">
        <v>73</v>
      </c>
      <c r="E26" s="26" t="str">
        <f>LOOKUP(PESQUISAR!A26,AJUSTE!B:B,AJUSTE!F:F)</f>
        <v xml:space="preserve"> Convert.ToInt32(???)</v>
      </c>
      <c r="F26" s="30" t="s">
        <v>99</v>
      </c>
      <c r="G26" s="26" t="str">
        <f t="shared" ref="G26" si="4">C25</f>
        <v>Dis_Id</v>
      </c>
      <c r="H26" s="32" t="s">
        <v>100</v>
      </c>
      <c r="K26" s="38">
        <f t="shared" si="1"/>
        <v>1</v>
      </c>
      <c r="L26" s="9" t="str">
        <f>IF(H25,CONCATENATE("                            ",B26,C26,D26),"")</f>
        <v xml:space="preserve">                             _distribuicao.Dis_Id =  Convert.ToInt32(MySqlDR["Dis_Id"]);</v>
      </c>
    </row>
    <row r="27" spans="1:12">
      <c r="A27" s="24">
        <v>2</v>
      </c>
      <c r="B27" s="21" t="s">
        <v>94</v>
      </c>
      <c r="C27" s="25" t="str">
        <f>LOOKUP(A27,INICIO!A$10:A$109,INICIO!K$10:K$109)</f>
        <v>Dis_DataDefinida</v>
      </c>
      <c r="D27" s="22" t="s">
        <v>95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5">IF(H27,CONCATENATE("                        ",B27,C27,D27),"")</f>
        <v xml:space="preserve">                        if (MySqlDR["Dis_DataDefinida"] != DBNull.Value)</v>
      </c>
    </row>
    <row r="28" spans="1:12">
      <c r="A28" s="28">
        <f>LOOKUP(A27,INICIO!A$10:A$109,INICIO!C$10:C$109)</f>
        <v>6</v>
      </c>
      <c r="B28" s="31" t="str">
        <f>CONCATENATE(C$7,".",C27," = ")</f>
        <v xml:space="preserve"> _distribuicao.Dis_DataDefinida = </v>
      </c>
      <c r="C28" s="23" t="str">
        <f t="shared" ref="C28" si="6">SUBSTITUTE(E28,"???",CONCATENATE(F28,G28,H28))</f>
        <v>Convert.ToDateTime(MySqlDR["Dis_DataDefinida"])</v>
      </c>
      <c r="D28" s="23" t="s">
        <v>73</v>
      </c>
      <c r="E28" s="26" t="str">
        <f>LOOKUP(PESQUISAR!A28,AJUSTE!B:B,AJUSTE!F:F)</f>
        <v>Convert.ToDateTime(???)</v>
      </c>
      <c r="F28" s="30" t="s">
        <v>99</v>
      </c>
      <c r="G28" s="26" t="str">
        <f t="shared" ref="G28" si="7">C27</f>
        <v>Dis_DataDefinida</v>
      </c>
      <c r="H28" s="32" t="s">
        <v>100</v>
      </c>
      <c r="K28" s="38">
        <f t="shared" si="1"/>
        <v>1</v>
      </c>
      <c r="L28" s="9" t="str">
        <f t="shared" ref="L28" si="8">IF(H27,CONCATENATE("                            ",B28,C28,D28),"")</f>
        <v xml:space="preserve">                             _distribuicao.Dis_DataDefinida = Convert.ToDateTime(MySqlDR["Dis_DataDefinida"]);</v>
      </c>
    </row>
    <row r="29" spans="1:12">
      <c r="A29" s="24">
        <v>3</v>
      </c>
      <c r="B29" s="21" t="s">
        <v>94</v>
      </c>
      <c r="C29" s="25" t="str">
        <f>LOOKUP(A29,INICIO!A$10:A$109,INICIO!K$10:K$109)</f>
        <v>Dis_DataGravacao</v>
      </c>
      <c r="D29" s="22" t="s">
        <v>95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9">IF(H29,CONCATENATE("                        ",B29,C29,D29),"")</f>
        <v xml:space="preserve">                        if (MySqlDR["Dis_DataGravacao"] != DBNull.Value)</v>
      </c>
    </row>
    <row r="30" spans="1:12">
      <c r="A30" s="28">
        <f>LOOKUP(A29,INICIO!A$10:A$109,INICIO!C$10:C$109)</f>
        <v>6</v>
      </c>
      <c r="B30" s="31" t="str">
        <f>CONCATENATE(C$7,".",C29," = ")</f>
        <v xml:space="preserve"> _distribuicao.Dis_DataGravacao = </v>
      </c>
      <c r="C30" s="23" t="str">
        <f t="shared" ref="C30" si="10">SUBSTITUTE(E30,"???",CONCATENATE(F30,G30,H30))</f>
        <v>Convert.ToDateTime(MySqlDR["Dis_DataGravacao"])</v>
      </c>
      <c r="D30" s="23" t="s">
        <v>73</v>
      </c>
      <c r="E30" s="26" t="str">
        <f>LOOKUP(PESQUISAR!A30,AJUSTE!B:B,AJUSTE!F:F)</f>
        <v>Convert.ToDateTime(???)</v>
      </c>
      <c r="F30" s="30" t="s">
        <v>99</v>
      </c>
      <c r="G30" s="26" t="str">
        <f t="shared" ref="G30" si="11">C29</f>
        <v>Dis_DataGravacao</v>
      </c>
      <c r="H30" s="32" t="s">
        <v>100</v>
      </c>
      <c r="K30" s="38">
        <f t="shared" si="1"/>
        <v>1</v>
      </c>
      <c r="L30" s="9" t="str">
        <f t="shared" ref="L30" si="12">IF(H29,CONCATENATE("                            ",B30,C30,D30),"")</f>
        <v xml:space="preserve">                             _distribuicao.Dis_DataGravacao = Convert.ToDateTime(MySqlDR["Dis_DataGravacao"]);</v>
      </c>
    </row>
    <row r="31" spans="1:12">
      <c r="A31" s="24">
        <v>4</v>
      </c>
      <c r="B31" s="21" t="s">
        <v>94</v>
      </c>
      <c r="C31" s="25" t="str">
        <f>LOOKUP(A31,INICIO!A$10:A$109,INICIO!K$10:K$109)</f>
        <v>Dis_Total</v>
      </c>
      <c r="D31" s="22" t="s">
        <v>95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13">IF(H31,CONCATENATE("                        ",B31,C31,D31),"")</f>
        <v xml:space="preserve">                        if (MySqlDR["Dis_Total"] != DBNull.Value)</v>
      </c>
    </row>
    <row r="32" spans="1:12">
      <c r="A32" s="28">
        <f>LOOKUP(A31,INICIO!A$10:A$109,INICIO!C$10:C$109)</f>
        <v>3</v>
      </c>
      <c r="B32" s="31" t="str">
        <f>CONCATENATE(C$7,".",C31," = ")</f>
        <v xml:space="preserve"> _distribuicao.Dis_Total = </v>
      </c>
      <c r="C32" s="23" t="str">
        <f t="shared" ref="C32" si="14">SUBSTITUTE(E32,"???",CONCATENATE(F32,G32,H32))</f>
        <v>Convert.ToDecimal(MySqlDR["Dis_Total"])</v>
      </c>
      <c r="D32" s="23" t="s">
        <v>73</v>
      </c>
      <c r="E32" s="26" t="str">
        <f>LOOKUP(PESQUISAR!A32,AJUSTE!B:B,AJUSTE!F:F)</f>
        <v>Convert.ToDecimal(???)</v>
      </c>
      <c r="F32" s="30" t="s">
        <v>99</v>
      </c>
      <c r="G32" s="26" t="str">
        <f t="shared" ref="G32" si="15">C31</f>
        <v>Dis_Total</v>
      </c>
      <c r="H32" s="32" t="s">
        <v>100</v>
      </c>
      <c r="K32" s="38">
        <f t="shared" si="1"/>
        <v>1</v>
      </c>
      <c r="L32" s="9" t="str">
        <f t="shared" ref="L32" si="16">IF(H31,CONCATENATE("                            ",B32,C32,D32),"")</f>
        <v xml:space="preserve">                             _distribuicao.Dis_Total = Convert.ToDecimal(MySqlDR["Dis_Total"]);</v>
      </c>
    </row>
    <row r="33" spans="1:12">
      <c r="A33" s="24">
        <v>5</v>
      </c>
      <c r="B33" s="21" t="s">
        <v>94</v>
      </c>
      <c r="C33" s="25" t="str">
        <f>LOOKUP(A33,INICIO!A$10:A$109,INICIO!K$10:K$109)</f>
        <v>Dis_Operador</v>
      </c>
      <c r="D33" s="22" t="s">
        <v>95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17">IF(H33,CONCATENATE("                        ",B33,C33,D33),"")</f>
        <v xml:space="preserve">                        if (MySqlDR["Dis_Operador"] != DBNull.Value)</v>
      </c>
    </row>
    <row r="34" spans="1:12">
      <c r="A34" s="28">
        <f>LOOKUP(A33,INICIO!A$10:A$109,INICIO!C$10:C$109)</f>
        <v>2</v>
      </c>
      <c r="B34" s="31" t="str">
        <f>CONCATENATE(C$7,".",C33," = ")</f>
        <v xml:space="preserve"> _distribuicao.Dis_Operador = </v>
      </c>
      <c r="C34" s="23" t="str">
        <f t="shared" ref="C34" si="18">SUBSTITUTE(E34,"???",CONCATENATE(F34,G34,H34))</f>
        <v xml:space="preserve"> Convert.ToInt32(MySqlDR["Dis_Operador"])</v>
      </c>
      <c r="D34" s="23" t="s">
        <v>73</v>
      </c>
      <c r="E34" s="26" t="str">
        <f>LOOKUP(PESQUISAR!A34,AJUSTE!B:B,AJUSTE!F:F)</f>
        <v xml:space="preserve"> Convert.ToInt32(???)</v>
      </c>
      <c r="F34" s="30" t="s">
        <v>99</v>
      </c>
      <c r="G34" s="26" t="str">
        <f t="shared" ref="G34" si="19">C33</f>
        <v>Dis_Operador</v>
      </c>
      <c r="H34" s="32" t="s">
        <v>100</v>
      </c>
      <c r="K34" s="38">
        <f t="shared" si="1"/>
        <v>1</v>
      </c>
      <c r="L34" s="9" t="str">
        <f t="shared" ref="L34" si="20">IF(H33,CONCATENATE("                            ",B34,C34,D34),"")</f>
        <v xml:space="preserve">                             _distribuicao.Dis_Operador =  Convert.ToInt32(MySqlDR["Dis_Operador"]);</v>
      </c>
    </row>
    <row r="35" spans="1:12" hidden="1">
      <c r="A35" s="24">
        <v>6</v>
      </c>
      <c r="B35" s="21" t="s">
        <v>94</v>
      </c>
      <c r="C35" s="25" t="str">
        <f>LOOKUP(A35,INICIO!A$10:A$109,INICIO!K$10:K$109)</f>
        <v/>
      </c>
      <c r="D35" s="22" t="s">
        <v>95</v>
      </c>
      <c r="E35" s="22"/>
      <c r="F35" s="22"/>
      <c r="G35" s="22"/>
      <c r="H35" s="34">
        <f>LOOKUP(A35,INICIO!A$10:A$109,INICIO!J$10:J$109)</f>
        <v>0</v>
      </c>
      <c r="K35" s="38">
        <f t="shared" si="1"/>
        <v>0</v>
      </c>
      <c r="L35" s="9" t="str">
        <f t="shared" ref="L35" si="21">IF(H35,CONCATENATE("                        ",B35,C35,D35),"")</f>
        <v/>
      </c>
    </row>
    <row r="36" spans="1:12" hidden="1">
      <c r="A36" s="28">
        <f>LOOKUP(A35,INICIO!A$10:A$109,INICIO!C$10:C$109)</f>
        <v>30</v>
      </c>
      <c r="B36" s="31" t="str">
        <f>CONCATENATE(C$7,".",C35," = ")</f>
        <v xml:space="preserve"> _distribuicao. = </v>
      </c>
      <c r="C36" s="23" t="str">
        <f t="shared" ref="C36" si="22">SUBSTITUTE(E36,"???",CONCATENATE(F36,G36,H36))</f>
        <v>0</v>
      </c>
      <c r="D36" s="23" t="s">
        <v>73</v>
      </c>
      <c r="E36" s="26">
        <f>LOOKUP(PESQUISAR!A36,AJUSTE!B:B,AJUSTE!F:F)</f>
        <v>0</v>
      </c>
      <c r="F36" s="30" t="s">
        <v>99</v>
      </c>
      <c r="G36" s="26" t="str">
        <f t="shared" ref="G36" si="23">C35</f>
        <v/>
      </c>
      <c r="H36" s="32" t="s">
        <v>100</v>
      </c>
      <c r="K36" s="38">
        <f t="shared" si="1"/>
        <v>0</v>
      </c>
      <c r="L36" s="9" t="str">
        <f t="shared" ref="L36" si="24">IF(H35,CONCATENATE("                            ",B36,C36,D36),"")</f>
        <v/>
      </c>
    </row>
    <row r="37" spans="1:12" hidden="1">
      <c r="A37" s="24">
        <v>7</v>
      </c>
      <c r="B37" s="21" t="s">
        <v>94</v>
      </c>
      <c r="C37" s="25" t="str">
        <f>LOOKUP(A37,INICIO!A$10:A$109,INICIO!K$10:K$109)</f>
        <v/>
      </c>
      <c r="D37" s="22" t="s">
        <v>95</v>
      </c>
      <c r="E37" s="22"/>
      <c r="F37" s="22"/>
      <c r="G37" s="22"/>
      <c r="H37" s="34">
        <f>LOOKUP(A37,INICIO!A$10:A$109,INICIO!J$10:J$109)</f>
        <v>0</v>
      </c>
      <c r="K37" s="38">
        <f t="shared" si="1"/>
        <v>0</v>
      </c>
      <c r="L37" s="9" t="str">
        <f t="shared" ref="L37" si="25">IF(H37,CONCATENATE("                        ",B37,C37,D37),"")</f>
        <v/>
      </c>
    </row>
    <row r="38" spans="1:12" hidden="1">
      <c r="A38" s="28">
        <f>LOOKUP(A37,INICIO!A$10:A$109,INICIO!C$10:C$109)</f>
        <v>30</v>
      </c>
      <c r="B38" s="31" t="str">
        <f>CONCATENATE(C$7,".",C37," = ")</f>
        <v xml:space="preserve"> _distribuicao. = </v>
      </c>
      <c r="C38" s="23" t="str">
        <f t="shared" ref="C38" si="26">SUBSTITUTE(E38,"???",CONCATENATE(F38,G38,H38))</f>
        <v>0</v>
      </c>
      <c r="D38" s="23" t="s">
        <v>73</v>
      </c>
      <c r="E38" s="26">
        <f>LOOKUP(PESQUISAR!A38,AJUSTE!B:B,AJUSTE!F:F)</f>
        <v>0</v>
      </c>
      <c r="F38" s="30" t="s">
        <v>99</v>
      </c>
      <c r="G38" s="26" t="str">
        <f t="shared" ref="G38" si="27">C37</f>
        <v/>
      </c>
      <c r="H38" s="32" t="s">
        <v>100</v>
      </c>
      <c r="K38" s="38">
        <f t="shared" si="1"/>
        <v>0</v>
      </c>
      <c r="L38" s="9" t="str">
        <f t="shared" ref="L38" si="28">IF(H37,CONCATENATE("                            ",B38,C38,D38),"")</f>
        <v/>
      </c>
    </row>
    <row r="39" spans="1:12" hidden="1">
      <c r="A39" s="24">
        <v>8</v>
      </c>
      <c r="B39" s="21" t="s">
        <v>94</v>
      </c>
      <c r="C39" s="25" t="str">
        <f>LOOKUP(A39,INICIO!A$10:A$109,INICIO!K$10:K$109)</f>
        <v/>
      </c>
      <c r="D39" s="22" t="s">
        <v>95</v>
      </c>
      <c r="E39" s="22"/>
      <c r="F39" s="22"/>
      <c r="G39" s="22"/>
      <c r="H39" s="34">
        <f>LOOKUP(A39,INICIO!A$10:A$109,INICIO!J$10:J$109)</f>
        <v>0</v>
      </c>
      <c r="K39" s="38">
        <f t="shared" si="1"/>
        <v>0</v>
      </c>
      <c r="L39" s="9" t="str">
        <f t="shared" ref="L39" si="29">IF(H39,CONCATENATE("                        ",B39,C39,D39),"")</f>
        <v/>
      </c>
    </row>
    <row r="40" spans="1:12" hidden="1">
      <c r="A40" s="28">
        <f>LOOKUP(A39,INICIO!A$10:A$109,INICIO!C$10:C$109)</f>
        <v>30</v>
      </c>
      <c r="B40" s="31" t="str">
        <f>CONCATENATE(C$7,".",C39," = ")</f>
        <v xml:space="preserve"> _distribuicao. = </v>
      </c>
      <c r="C40" s="23" t="str">
        <f t="shared" ref="C40" si="30">SUBSTITUTE(E40,"???",CONCATENATE(F40,G40,H40))</f>
        <v>0</v>
      </c>
      <c r="D40" s="23" t="s">
        <v>73</v>
      </c>
      <c r="E40" s="26">
        <f>LOOKUP(PESQUISAR!A40,AJUSTE!B:B,AJUSTE!F:F)</f>
        <v>0</v>
      </c>
      <c r="F40" s="30" t="s">
        <v>99</v>
      </c>
      <c r="G40" s="26" t="str">
        <f t="shared" ref="G40" si="31">C39</f>
        <v/>
      </c>
      <c r="H40" s="32" t="s">
        <v>100</v>
      </c>
      <c r="K40" s="38">
        <f t="shared" si="1"/>
        <v>0</v>
      </c>
      <c r="L40" s="9" t="str">
        <f t="shared" ref="L40" si="32">IF(H39,CONCATENATE("                            ",B40,C40,D40),"")</f>
        <v/>
      </c>
    </row>
    <row r="41" spans="1:12" hidden="1">
      <c r="A41" s="24">
        <v>9</v>
      </c>
      <c r="B41" s="21" t="s">
        <v>94</v>
      </c>
      <c r="C41" s="25" t="str">
        <f>LOOKUP(A41,INICIO!A$10:A$109,INICIO!K$10:K$109)</f>
        <v/>
      </c>
      <c r="D41" s="22" t="s">
        <v>95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33">IF(H41,CONCATENATE("                        ",B41,C41,D41),"")</f>
        <v/>
      </c>
    </row>
    <row r="42" spans="1:12" hidden="1">
      <c r="A42" s="28">
        <f>LOOKUP(A41,INICIO!A$10:A$109,INICIO!C$10:C$109)</f>
        <v>30</v>
      </c>
      <c r="B42" s="31" t="str">
        <f>CONCATENATE(C$7,".",C41," = ")</f>
        <v xml:space="preserve"> _distribuicao. = </v>
      </c>
      <c r="C42" s="23" t="str">
        <f t="shared" ref="C42" si="34">SUBSTITUTE(E42,"???",CONCATENATE(F42,G42,H42))</f>
        <v>0</v>
      </c>
      <c r="D42" s="23" t="s">
        <v>73</v>
      </c>
      <c r="E42" s="26">
        <f>LOOKUP(PESQUISAR!A42,AJUSTE!B:B,AJUSTE!F:F)</f>
        <v>0</v>
      </c>
      <c r="F42" s="30" t="s">
        <v>99</v>
      </c>
      <c r="G42" s="26" t="str">
        <f t="shared" ref="G42" si="35">C41</f>
        <v/>
      </c>
      <c r="H42" s="32" t="s">
        <v>100</v>
      </c>
      <c r="K42" s="38">
        <f t="shared" si="1"/>
        <v>0</v>
      </c>
      <c r="L42" s="9" t="str">
        <f t="shared" ref="L42" si="36">IF(H41,CONCATENATE("                            ",B42,C42,D42),"")</f>
        <v/>
      </c>
    </row>
    <row r="43" spans="1:12" hidden="1">
      <c r="A43" s="24">
        <v>10</v>
      </c>
      <c r="B43" s="21" t="s">
        <v>94</v>
      </c>
      <c r="C43" s="25" t="str">
        <f>LOOKUP(A43,INICIO!A$10:A$109,INICIO!K$10:K$109)</f>
        <v/>
      </c>
      <c r="D43" s="22" t="s">
        <v>95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37">IF(H43,CONCATENATE("                        ",B43,C43,D43),"")</f>
        <v/>
      </c>
    </row>
    <row r="44" spans="1:12" hidden="1">
      <c r="A44" s="28">
        <f>LOOKUP(A43,INICIO!A$10:A$109,INICIO!C$10:C$109)</f>
        <v>30</v>
      </c>
      <c r="B44" s="31" t="str">
        <f>CONCATENATE(C$7,".",C43," = ")</f>
        <v xml:space="preserve"> _distribuicao. = </v>
      </c>
      <c r="C44" s="23" t="str">
        <f t="shared" ref="C44" si="38">SUBSTITUTE(E44,"???",CONCATENATE(F44,G44,H44))</f>
        <v>0</v>
      </c>
      <c r="D44" s="23" t="s">
        <v>73</v>
      </c>
      <c r="E44" s="26">
        <f>LOOKUP(PESQUISAR!A44,AJUSTE!B:B,AJUSTE!F:F)</f>
        <v>0</v>
      </c>
      <c r="F44" s="30" t="s">
        <v>99</v>
      </c>
      <c r="G44" s="26" t="str">
        <f t="shared" ref="G44" si="39">C43</f>
        <v/>
      </c>
      <c r="H44" s="32" t="s">
        <v>100</v>
      </c>
      <c r="K44" s="38">
        <f t="shared" si="1"/>
        <v>0</v>
      </c>
      <c r="L44" s="9" t="str">
        <f t="shared" ref="L44" si="40">IF(H43,CONCATENATE("                            ",B44,C44,D44),"")</f>
        <v/>
      </c>
    </row>
    <row r="45" spans="1:12" hidden="1">
      <c r="A45" s="24">
        <v>11</v>
      </c>
      <c r="B45" s="21" t="s">
        <v>94</v>
      </c>
      <c r="C45" s="25" t="str">
        <f>LOOKUP(A45,INICIO!A$10:A$109,INICIO!K$10:K$109)</f>
        <v/>
      </c>
      <c r="D45" s="22" t="s">
        <v>95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41">IF(H45,CONCATENATE("                        ",B45,C45,D45),"")</f>
        <v/>
      </c>
    </row>
    <row r="46" spans="1:12" hidden="1">
      <c r="A46" s="28">
        <f>LOOKUP(A45,INICIO!A$10:A$109,INICIO!C$10:C$109)</f>
        <v>30</v>
      </c>
      <c r="B46" s="31" t="str">
        <f>CONCATENATE(C$7,".",C45," = ")</f>
        <v xml:space="preserve"> _distribuicao. = </v>
      </c>
      <c r="C46" s="23" t="str">
        <f t="shared" ref="C46" si="42">SUBSTITUTE(E46,"???",CONCATENATE(F46,G46,H46))</f>
        <v>0</v>
      </c>
      <c r="D46" s="23" t="s">
        <v>73</v>
      </c>
      <c r="E46" s="26">
        <f>LOOKUP(PESQUISAR!A46,AJUSTE!B:B,AJUSTE!F:F)</f>
        <v>0</v>
      </c>
      <c r="F46" s="30" t="s">
        <v>99</v>
      </c>
      <c r="G46" s="26" t="str">
        <f t="shared" ref="G46" si="43">C45</f>
        <v/>
      </c>
      <c r="H46" s="32" t="s">
        <v>100</v>
      </c>
      <c r="K46" s="38">
        <f t="shared" si="1"/>
        <v>0</v>
      </c>
      <c r="L46" s="9" t="str">
        <f t="shared" ref="L46" si="44">IF(H45,CONCATENATE("                            ",B46,C46,D46),"")</f>
        <v/>
      </c>
    </row>
    <row r="47" spans="1:12" hidden="1">
      <c r="A47" s="24">
        <v>12</v>
      </c>
      <c r="B47" s="21" t="s">
        <v>94</v>
      </c>
      <c r="C47" s="25" t="str">
        <f>LOOKUP(A47,INICIO!A$10:A$109,INICIO!K$10:K$109)</f>
        <v/>
      </c>
      <c r="D47" s="22" t="s">
        <v>95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45">IF(H47,CONCATENATE("                        ",B47,C47,D47),"")</f>
        <v/>
      </c>
    </row>
    <row r="48" spans="1:12" hidden="1">
      <c r="A48" s="28">
        <f>LOOKUP(A47,INICIO!A$10:A$109,INICIO!C$10:C$109)</f>
        <v>30</v>
      </c>
      <c r="B48" s="31" t="str">
        <f>CONCATENATE(C$7,".",C47," = ")</f>
        <v xml:space="preserve"> _distribuicao. = </v>
      </c>
      <c r="C48" s="23" t="str">
        <f t="shared" ref="C48" si="46">SUBSTITUTE(E48,"???",CONCATENATE(F48,G48,H48))</f>
        <v>0</v>
      </c>
      <c r="D48" s="23" t="s">
        <v>73</v>
      </c>
      <c r="E48" s="26">
        <f>LOOKUP(PESQUISAR!A48,AJUSTE!B:B,AJUSTE!F:F)</f>
        <v>0</v>
      </c>
      <c r="F48" s="30" t="s">
        <v>99</v>
      </c>
      <c r="G48" s="26" t="str">
        <f t="shared" ref="G48" si="47">C47</f>
        <v/>
      </c>
      <c r="H48" s="32" t="s">
        <v>100</v>
      </c>
      <c r="K48" s="38">
        <f t="shared" si="1"/>
        <v>0</v>
      </c>
      <c r="L48" s="9" t="str">
        <f t="shared" ref="L48" si="48">IF(H47,CONCATENATE("                            ",B48,C48,D48),"")</f>
        <v/>
      </c>
    </row>
    <row r="49" spans="1:12" hidden="1">
      <c r="A49" s="24">
        <v>13</v>
      </c>
      <c r="B49" s="21" t="s">
        <v>94</v>
      </c>
      <c r="C49" s="25" t="str">
        <f>LOOKUP(A49,INICIO!A$10:A$109,INICIO!K$10:K$109)</f>
        <v/>
      </c>
      <c r="D49" s="22" t="s">
        <v>95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49">IF(H49,CONCATENATE("                        ",B49,C49,D49),"")</f>
        <v/>
      </c>
    </row>
    <row r="50" spans="1:12" hidden="1">
      <c r="A50" s="28">
        <f>LOOKUP(A49,INICIO!A$10:A$109,INICIO!C$10:C$109)</f>
        <v>30</v>
      </c>
      <c r="B50" s="31" t="str">
        <f>CONCATENATE(C$7,".",C49," = ")</f>
        <v xml:space="preserve"> _distribuicao. = </v>
      </c>
      <c r="C50" s="23" t="str">
        <f t="shared" ref="C50" si="50">SUBSTITUTE(E50,"???",CONCATENATE(F50,G50,H50))</f>
        <v>0</v>
      </c>
      <c r="D50" s="23" t="s">
        <v>73</v>
      </c>
      <c r="E50" s="26">
        <f>LOOKUP(PESQUISAR!A50,AJUSTE!B:B,AJUSTE!F:F)</f>
        <v>0</v>
      </c>
      <c r="F50" s="30" t="s">
        <v>99</v>
      </c>
      <c r="G50" s="26" t="str">
        <f t="shared" ref="G50" si="51">C49</f>
        <v/>
      </c>
      <c r="H50" s="32" t="s">
        <v>100</v>
      </c>
      <c r="K50" s="38">
        <f t="shared" si="1"/>
        <v>0</v>
      </c>
      <c r="L50" s="9" t="str">
        <f t="shared" ref="L50" si="52">IF(H49,CONCATENATE("                            ",B50,C50,D50),"")</f>
        <v/>
      </c>
    </row>
    <row r="51" spans="1:12" hidden="1">
      <c r="A51" s="24">
        <v>14</v>
      </c>
      <c r="B51" s="21" t="s">
        <v>94</v>
      </c>
      <c r="C51" s="25" t="str">
        <f>LOOKUP(A51,INICIO!A$10:A$109,INICIO!K$10:K$109)</f>
        <v/>
      </c>
      <c r="D51" s="22" t="s">
        <v>95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53">IF(H51,CONCATENATE("                        ",B51,C51,D51),"")</f>
        <v/>
      </c>
    </row>
    <row r="52" spans="1:12" hidden="1">
      <c r="A52" s="28">
        <f>LOOKUP(A51,INICIO!A$10:A$109,INICIO!C$10:C$109)</f>
        <v>30</v>
      </c>
      <c r="B52" s="31" t="str">
        <f>CONCATENATE(C$7,".",C51," = ")</f>
        <v xml:space="preserve"> _distribuicao. = </v>
      </c>
      <c r="C52" s="23" t="str">
        <f t="shared" ref="C52" si="54">SUBSTITUTE(E52,"???",CONCATENATE(F52,G52,H52))</f>
        <v>0</v>
      </c>
      <c r="D52" s="23" t="s">
        <v>73</v>
      </c>
      <c r="E52" s="26">
        <f>LOOKUP(PESQUISAR!A52,AJUSTE!B:B,AJUSTE!F:F)</f>
        <v>0</v>
      </c>
      <c r="F52" s="30" t="s">
        <v>99</v>
      </c>
      <c r="G52" s="26" t="str">
        <f t="shared" ref="G52" si="55">C51</f>
        <v/>
      </c>
      <c r="H52" s="32" t="s">
        <v>100</v>
      </c>
      <c r="K52" s="38">
        <f t="shared" si="1"/>
        <v>0</v>
      </c>
      <c r="L52" s="9" t="str">
        <f t="shared" ref="L52" si="56">IF(H51,CONCATENATE("                            ",B52,C52,D52),"")</f>
        <v/>
      </c>
    </row>
    <row r="53" spans="1:12" hidden="1">
      <c r="A53" s="24">
        <v>15</v>
      </c>
      <c r="B53" s="21" t="s">
        <v>94</v>
      </c>
      <c r="C53" s="25" t="str">
        <f>LOOKUP(A53,INICIO!A$10:A$109,INICIO!K$10:K$109)</f>
        <v/>
      </c>
      <c r="D53" s="22" t="s">
        <v>95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57">IF(H53,CONCATENATE("                        ",B53,C53,D53),"")</f>
        <v/>
      </c>
    </row>
    <row r="54" spans="1:12" hidden="1">
      <c r="A54" s="28">
        <f>LOOKUP(A53,INICIO!A$10:A$109,INICIO!C$10:C$109)</f>
        <v>30</v>
      </c>
      <c r="B54" s="31" t="str">
        <f>CONCATENATE(C$7,".",C53," = ")</f>
        <v xml:space="preserve"> _distribuicao. = </v>
      </c>
      <c r="C54" s="23" t="str">
        <f t="shared" ref="C54" si="58">SUBSTITUTE(E54,"???",CONCATENATE(F54,G54,H54))</f>
        <v>0</v>
      </c>
      <c r="D54" s="23" t="s">
        <v>73</v>
      </c>
      <c r="E54" s="26">
        <f>LOOKUP(PESQUISAR!A54,AJUSTE!B:B,AJUSTE!F:F)</f>
        <v>0</v>
      </c>
      <c r="F54" s="30" t="s">
        <v>99</v>
      </c>
      <c r="G54" s="26" t="str">
        <f t="shared" ref="G54" si="59">C53</f>
        <v/>
      </c>
      <c r="H54" s="32" t="s">
        <v>100</v>
      </c>
      <c r="K54" s="38">
        <f t="shared" si="1"/>
        <v>0</v>
      </c>
      <c r="L54" s="9" t="str">
        <f t="shared" ref="L54" si="60">IF(H53,CONCATENATE("                            ",B54,C54,D54),"")</f>
        <v/>
      </c>
    </row>
    <row r="55" spans="1:12" hidden="1">
      <c r="A55" s="24">
        <v>16</v>
      </c>
      <c r="B55" s="21" t="s">
        <v>94</v>
      </c>
      <c r="C55" s="25" t="str">
        <f>LOOKUP(A55,INICIO!A$10:A$109,INICIO!K$10:K$109)</f>
        <v/>
      </c>
      <c r="D55" s="22" t="s">
        <v>95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61">IF(H55,CONCATENATE("                        ",B55,C55,D55),"")</f>
        <v/>
      </c>
    </row>
    <row r="56" spans="1:12" hidden="1">
      <c r="A56" s="28">
        <f>LOOKUP(A55,INICIO!A$10:A$109,INICIO!C$10:C$109)</f>
        <v>30</v>
      </c>
      <c r="B56" s="31" t="str">
        <f>CONCATENATE(C$7,".",C55," = ")</f>
        <v xml:space="preserve"> _distribuicao. = </v>
      </c>
      <c r="C56" s="23" t="str">
        <f t="shared" ref="C56" si="62">SUBSTITUTE(E56,"???",CONCATENATE(F56,G56,H56))</f>
        <v>0</v>
      </c>
      <c r="D56" s="23" t="s">
        <v>73</v>
      </c>
      <c r="E56" s="26">
        <f>LOOKUP(PESQUISAR!A56,AJUSTE!B:B,AJUSTE!F:F)</f>
        <v>0</v>
      </c>
      <c r="F56" s="30" t="s">
        <v>99</v>
      </c>
      <c r="G56" s="26" t="str">
        <f t="shared" ref="G56" si="63">C55</f>
        <v/>
      </c>
      <c r="H56" s="32" t="s">
        <v>100</v>
      </c>
      <c r="K56" s="38">
        <f t="shared" si="1"/>
        <v>0</v>
      </c>
      <c r="L56" s="9" t="str">
        <f t="shared" ref="L56" si="64">IF(H55,CONCATENATE("                            ",B56,C56,D56),"")</f>
        <v/>
      </c>
    </row>
    <row r="57" spans="1:12" hidden="1">
      <c r="A57" s="24">
        <v>17</v>
      </c>
      <c r="B57" s="21" t="s">
        <v>94</v>
      </c>
      <c r="C57" s="25" t="str">
        <f>LOOKUP(A57,INICIO!A$10:A$109,INICIO!K$10:K$109)</f>
        <v/>
      </c>
      <c r="D57" s="22" t="s">
        <v>95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65">IF(H57,CONCATENATE("                        ",B57,C57,D57),"")</f>
        <v/>
      </c>
    </row>
    <row r="58" spans="1:12" hidden="1">
      <c r="A58" s="28">
        <f>LOOKUP(A57,INICIO!A$10:A$109,INICIO!C$10:C$109)</f>
        <v>30</v>
      </c>
      <c r="B58" s="31" t="str">
        <f>CONCATENATE(C$7,".",C57," = ")</f>
        <v xml:space="preserve"> _distribuicao. = </v>
      </c>
      <c r="C58" s="23" t="str">
        <f t="shared" ref="C58" si="66">SUBSTITUTE(E58,"???",CONCATENATE(F58,G58,H58))</f>
        <v>0</v>
      </c>
      <c r="D58" s="23" t="s">
        <v>73</v>
      </c>
      <c r="E58" s="26">
        <f>LOOKUP(PESQUISAR!A58,AJUSTE!B:B,AJUSTE!F:F)</f>
        <v>0</v>
      </c>
      <c r="F58" s="30" t="s">
        <v>99</v>
      </c>
      <c r="G58" s="26" t="str">
        <f t="shared" ref="G58" si="67">C57</f>
        <v/>
      </c>
      <c r="H58" s="32" t="s">
        <v>100</v>
      </c>
      <c r="K58" s="38">
        <f t="shared" si="1"/>
        <v>0</v>
      </c>
      <c r="L58" s="9" t="str">
        <f t="shared" ref="L58" si="68">IF(H57,CONCATENATE("                            ",B58,C58,D58),"")</f>
        <v/>
      </c>
    </row>
    <row r="59" spans="1:12" hidden="1">
      <c r="A59" s="24">
        <v>18</v>
      </c>
      <c r="B59" s="21" t="s">
        <v>94</v>
      </c>
      <c r="C59" s="25" t="str">
        <f>LOOKUP(A59,INICIO!A$10:A$109,INICIO!K$10:K$109)</f>
        <v/>
      </c>
      <c r="D59" s="22" t="s">
        <v>95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69">IF(H59,CONCATENATE("                        ",B59,C59,D59),"")</f>
        <v/>
      </c>
    </row>
    <row r="60" spans="1:12" hidden="1">
      <c r="A60" s="28">
        <f>LOOKUP(A59,INICIO!A$10:A$109,INICIO!C$10:C$109)</f>
        <v>30</v>
      </c>
      <c r="B60" s="31" t="str">
        <f>CONCATENATE(C$7,".",C59," = ")</f>
        <v xml:space="preserve"> _distribuicao. = </v>
      </c>
      <c r="C60" s="23" t="str">
        <f t="shared" ref="C60" si="70">SUBSTITUTE(E60,"???",CONCATENATE(F60,G60,H60))</f>
        <v>0</v>
      </c>
      <c r="D60" s="23" t="s">
        <v>73</v>
      </c>
      <c r="E60" s="26">
        <f>LOOKUP(PESQUISAR!A60,AJUSTE!B:B,AJUSTE!F:F)</f>
        <v>0</v>
      </c>
      <c r="F60" s="30" t="s">
        <v>99</v>
      </c>
      <c r="G60" s="26" t="str">
        <f t="shared" ref="G60" si="71">C59</f>
        <v/>
      </c>
      <c r="H60" s="32" t="s">
        <v>100</v>
      </c>
      <c r="K60" s="38">
        <f t="shared" si="1"/>
        <v>0</v>
      </c>
      <c r="L60" s="9" t="str">
        <f t="shared" ref="L60" si="72">IF(H59,CONCATENATE("                            ",B60,C60,D60),"")</f>
        <v/>
      </c>
    </row>
    <row r="61" spans="1:12" hidden="1">
      <c r="A61" s="24">
        <v>19</v>
      </c>
      <c r="B61" s="21" t="s">
        <v>94</v>
      </c>
      <c r="C61" s="25" t="str">
        <f>LOOKUP(A61,INICIO!A$10:A$109,INICIO!K$10:K$109)</f>
        <v/>
      </c>
      <c r="D61" s="22" t="s">
        <v>95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73">IF(H61,CONCATENATE("                        ",B61,C61,D61),"")</f>
        <v/>
      </c>
    </row>
    <row r="62" spans="1:12" hidden="1">
      <c r="A62" s="28">
        <f>LOOKUP(A61,INICIO!A$10:A$109,INICIO!C$10:C$109)</f>
        <v>30</v>
      </c>
      <c r="B62" s="31" t="str">
        <f>CONCATENATE(C$7,".",C61," = ")</f>
        <v xml:space="preserve"> _distribuicao. = </v>
      </c>
      <c r="C62" s="23" t="str">
        <f t="shared" ref="C62" si="74">SUBSTITUTE(E62,"???",CONCATENATE(F62,G62,H62))</f>
        <v>0</v>
      </c>
      <c r="D62" s="23" t="s">
        <v>73</v>
      </c>
      <c r="E62" s="26">
        <f>LOOKUP(PESQUISAR!A62,AJUSTE!B:B,AJUSTE!F:F)</f>
        <v>0</v>
      </c>
      <c r="F62" s="30" t="s">
        <v>99</v>
      </c>
      <c r="G62" s="26" t="str">
        <f t="shared" ref="G62" si="75">C61</f>
        <v/>
      </c>
      <c r="H62" s="32" t="s">
        <v>100</v>
      </c>
      <c r="K62" s="38">
        <f t="shared" si="1"/>
        <v>0</v>
      </c>
      <c r="L62" s="9" t="str">
        <f t="shared" ref="L62" si="76">IF(H61,CONCATENATE("                            ",B62,C62,D62),"")</f>
        <v/>
      </c>
    </row>
    <row r="63" spans="1:12" hidden="1">
      <c r="A63" s="24">
        <v>20</v>
      </c>
      <c r="B63" s="21" t="s">
        <v>94</v>
      </c>
      <c r="C63" s="25" t="str">
        <f>LOOKUP(A63,INICIO!A$10:A$109,INICIO!K$10:K$109)</f>
        <v/>
      </c>
      <c r="D63" s="22" t="s">
        <v>95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77">IF(H63,CONCATENATE("                        ",B63,C63,D63),"")</f>
        <v/>
      </c>
    </row>
    <row r="64" spans="1:12" hidden="1">
      <c r="A64" s="28">
        <f>LOOKUP(A63,INICIO!A$10:A$109,INICIO!C$10:C$109)</f>
        <v>30</v>
      </c>
      <c r="B64" s="31" t="str">
        <f>CONCATENATE(C$7,".",C63," = ")</f>
        <v xml:space="preserve"> _distribuicao. = </v>
      </c>
      <c r="C64" s="23" t="str">
        <f t="shared" ref="C64" si="78">SUBSTITUTE(E64,"???",CONCATENATE(F64,G64,H64))</f>
        <v>0</v>
      </c>
      <c r="D64" s="23" t="s">
        <v>73</v>
      </c>
      <c r="E64" s="26">
        <f>LOOKUP(PESQUISAR!A64,AJUSTE!B:B,AJUSTE!F:F)</f>
        <v>0</v>
      </c>
      <c r="F64" s="30" t="s">
        <v>99</v>
      </c>
      <c r="G64" s="26" t="str">
        <f t="shared" ref="G64" si="79">C63</f>
        <v/>
      </c>
      <c r="H64" s="32" t="s">
        <v>100</v>
      </c>
      <c r="K64" s="38">
        <f t="shared" si="1"/>
        <v>0</v>
      </c>
      <c r="L64" s="9" t="str">
        <f t="shared" ref="L64" si="80">IF(H63,CONCATENATE("                            ",B64,C64,D64),"")</f>
        <v/>
      </c>
    </row>
    <row r="65" spans="1:12" hidden="1">
      <c r="A65" s="24">
        <v>21</v>
      </c>
      <c r="B65" s="21" t="s">
        <v>94</v>
      </c>
      <c r="C65" s="25" t="str">
        <f>LOOKUP(A65,INICIO!A$10:A$109,INICIO!K$10:K$109)</f>
        <v/>
      </c>
      <c r="D65" s="22" t="s">
        <v>95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81">IF(H65,CONCATENATE("                        ",B65,C65,D65),"")</f>
        <v/>
      </c>
    </row>
    <row r="66" spans="1:12" hidden="1">
      <c r="A66" s="28">
        <f>LOOKUP(A65,INICIO!A$10:A$109,INICIO!C$10:C$109)</f>
        <v>30</v>
      </c>
      <c r="B66" s="31" t="str">
        <f>CONCATENATE(C$7,".",C65," = ")</f>
        <v xml:space="preserve"> _distribuicao. = </v>
      </c>
      <c r="C66" s="23" t="str">
        <f t="shared" ref="C66" si="82">SUBSTITUTE(E66,"???",CONCATENATE(F66,G66,H66))</f>
        <v>0</v>
      </c>
      <c r="D66" s="23" t="s">
        <v>73</v>
      </c>
      <c r="E66" s="26">
        <f>LOOKUP(PESQUISAR!A66,AJUSTE!B:B,AJUSTE!F:F)</f>
        <v>0</v>
      </c>
      <c r="F66" s="30" t="s">
        <v>99</v>
      </c>
      <c r="G66" s="26" t="str">
        <f t="shared" ref="G66" si="83">C65</f>
        <v/>
      </c>
      <c r="H66" s="32" t="s">
        <v>100</v>
      </c>
      <c r="K66" s="38">
        <f t="shared" si="1"/>
        <v>0</v>
      </c>
      <c r="L66" s="9" t="str">
        <f t="shared" ref="L66" si="84">IF(H65,CONCATENATE("                            ",B66,C66,D66),"")</f>
        <v/>
      </c>
    </row>
    <row r="67" spans="1:12" hidden="1">
      <c r="A67" s="24">
        <v>22</v>
      </c>
      <c r="B67" s="21" t="s">
        <v>94</v>
      </c>
      <c r="C67" s="25" t="str">
        <f>LOOKUP(A67,INICIO!A$10:A$109,INICIO!K$10:K$109)</f>
        <v/>
      </c>
      <c r="D67" s="22" t="s">
        <v>95</v>
      </c>
      <c r="E67" s="22"/>
      <c r="F67" s="22"/>
      <c r="G67" s="22"/>
      <c r="H67" s="34">
        <f>LOOKUP(A67,INICIO!A$10:A$109,INICIO!J$10:J$109)</f>
        <v>0</v>
      </c>
      <c r="K67" s="38">
        <f t="shared" si="1"/>
        <v>0</v>
      </c>
      <c r="L67" s="9" t="str">
        <f t="shared" ref="L67" si="85">IF(H67,CONCATENATE("                        ",B67,C67,D67),"")</f>
        <v/>
      </c>
    </row>
    <row r="68" spans="1:12" hidden="1">
      <c r="A68" s="28">
        <f>LOOKUP(A67,INICIO!A$10:A$109,INICIO!C$10:C$109)</f>
        <v>30</v>
      </c>
      <c r="B68" s="31" t="str">
        <f>CONCATENATE(C$7,".",C67," = ")</f>
        <v xml:space="preserve"> _distribuicao. = </v>
      </c>
      <c r="C68" s="23" t="str">
        <f t="shared" ref="C68" si="86">SUBSTITUTE(E68,"???",CONCATENATE(F68,G68,H68))</f>
        <v>0</v>
      </c>
      <c r="D68" s="23" t="s">
        <v>73</v>
      </c>
      <c r="E68" s="26">
        <f>LOOKUP(PESQUISAR!A68,AJUSTE!B:B,AJUSTE!F:F)</f>
        <v>0</v>
      </c>
      <c r="F68" s="30" t="s">
        <v>99</v>
      </c>
      <c r="G68" s="26" t="str">
        <f t="shared" ref="G68" si="87">C67</f>
        <v/>
      </c>
      <c r="H68" s="32" t="s">
        <v>100</v>
      </c>
      <c r="K68" s="38">
        <f t="shared" si="1"/>
        <v>0</v>
      </c>
      <c r="L68" s="9" t="str">
        <f t="shared" ref="L68" si="88">IF(H67,CONCATENATE("                            ",B68,C68,D68),"")</f>
        <v/>
      </c>
    </row>
    <row r="69" spans="1:12" hidden="1">
      <c r="A69" s="24">
        <v>23</v>
      </c>
      <c r="B69" s="21" t="s">
        <v>94</v>
      </c>
      <c r="C69" s="25" t="str">
        <f>LOOKUP(A69,INICIO!A$10:A$109,INICIO!K$10:K$109)</f>
        <v/>
      </c>
      <c r="D69" s="22" t="s">
        <v>95</v>
      </c>
      <c r="E69" s="22"/>
      <c r="F69" s="22"/>
      <c r="G69" s="22"/>
      <c r="H69" s="34">
        <f>LOOKUP(A69,INICIO!A$10:A$109,INICIO!J$10:J$109)</f>
        <v>0</v>
      </c>
      <c r="K69" s="38">
        <f t="shared" si="1"/>
        <v>0</v>
      </c>
      <c r="L69" s="9" t="str">
        <f t="shared" ref="L69" si="89">IF(H69,CONCATENATE("                        ",B69,C69,D69),"")</f>
        <v/>
      </c>
    </row>
    <row r="70" spans="1:12" hidden="1">
      <c r="A70" s="28">
        <f>LOOKUP(A69,INICIO!A$10:A$109,INICIO!C$10:C$109)</f>
        <v>30</v>
      </c>
      <c r="B70" s="31" t="str">
        <f>CONCATENATE(C$7,".",C69," = ")</f>
        <v xml:space="preserve"> _distribuicao. = </v>
      </c>
      <c r="C70" s="23" t="str">
        <f t="shared" ref="C70" si="90">SUBSTITUTE(E70,"???",CONCATENATE(F70,G70,H70))</f>
        <v>0</v>
      </c>
      <c r="D70" s="23" t="s">
        <v>73</v>
      </c>
      <c r="E70" s="26">
        <f>LOOKUP(PESQUISAR!A70,AJUSTE!B:B,AJUSTE!F:F)</f>
        <v>0</v>
      </c>
      <c r="F70" s="30" t="s">
        <v>99</v>
      </c>
      <c r="G70" s="26" t="str">
        <f t="shared" ref="G70" si="91">C69</f>
        <v/>
      </c>
      <c r="H70" s="32" t="s">
        <v>100</v>
      </c>
      <c r="K70" s="38">
        <f t="shared" si="1"/>
        <v>0</v>
      </c>
      <c r="L70" s="9" t="str">
        <f t="shared" ref="L70" si="92">IF(H69,CONCATENATE("                            ",B70,C70,D70),"")</f>
        <v/>
      </c>
    </row>
    <row r="71" spans="1:12" hidden="1">
      <c r="A71" s="24">
        <v>24</v>
      </c>
      <c r="B71" s="21" t="s">
        <v>94</v>
      </c>
      <c r="C71" s="25" t="str">
        <f>LOOKUP(A71,INICIO!A$10:A$109,INICIO!K$10:K$109)</f>
        <v/>
      </c>
      <c r="D71" s="22" t="s">
        <v>95</v>
      </c>
      <c r="E71" s="22"/>
      <c r="F71" s="22"/>
      <c r="G71" s="22"/>
      <c r="H71" s="34">
        <f>LOOKUP(A71,INICIO!A$10:A$109,INICIO!J$10:J$109)</f>
        <v>0</v>
      </c>
      <c r="K71" s="38">
        <f t="shared" ref="K71:K134" si="93">IF(L71&lt;&gt;"",1,0)</f>
        <v>0</v>
      </c>
      <c r="L71" s="9" t="str">
        <f t="shared" ref="L71" si="94">IF(H71,CONCATENATE("                        ",B71,C71,D71),"")</f>
        <v/>
      </c>
    </row>
    <row r="72" spans="1:12" hidden="1">
      <c r="A72" s="28">
        <f>LOOKUP(A71,INICIO!A$10:A$109,INICIO!C$10:C$109)</f>
        <v>30</v>
      </c>
      <c r="B72" s="31" t="str">
        <f>CONCATENATE(C$7,".",C71," = ")</f>
        <v xml:space="preserve"> _distribuicao. = </v>
      </c>
      <c r="C72" s="23" t="str">
        <f t="shared" ref="C72" si="95">SUBSTITUTE(E72,"???",CONCATENATE(F72,G72,H72))</f>
        <v>0</v>
      </c>
      <c r="D72" s="23" t="s">
        <v>73</v>
      </c>
      <c r="E72" s="26">
        <f>LOOKUP(PESQUISAR!A72,AJUSTE!B:B,AJUSTE!F:F)</f>
        <v>0</v>
      </c>
      <c r="F72" s="30" t="s">
        <v>99</v>
      </c>
      <c r="G72" s="26" t="str">
        <f t="shared" ref="G72" si="96">C71</f>
        <v/>
      </c>
      <c r="H72" s="32" t="s">
        <v>100</v>
      </c>
      <c r="K72" s="38">
        <f t="shared" si="93"/>
        <v>0</v>
      </c>
      <c r="L72" s="9" t="str">
        <f t="shared" ref="L72" si="97">IF(H71,CONCATENATE("                            ",B72,C72,D72),"")</f>
        <v/>
      </c>
    </row>
    <row r="73" spans="1:12" hidden="1">
      <c r="A73" s="24">
        <v>25</v>
      </c>
      <c r="B73" s="21" t="s">
        <v>94</v>
      </c>
      <c r="C73" s="25" t="str">
        <f>LOOKUP(A73,INICIO!A$10:A$109,INICIO!K$10:K$109)</f>
        <v/>
      </c>
      <c r="D73" s="22" t="s">
        <v>95</v>
      </c>
      <c r="E73" s="22"/>
      <c r="F73" s="22"/>
      <c r="G73" s="22"/>
      <c r="H73" s="34">
        <f>LOOKUP(A73,INICIO!A$10:A$109,INICIO!J$10:J$109)</f>
        <v>0</v>
      </c>
      <c r="K73" s="38">
        <f t="shared" si="93"/>
        <v>0</v>
      </c>
      <c r="L73" s="9" t="str">
        <f t="shared" ref="L73" si="98">IF(H73,CONCATENATE("                        ",B73,C73,D73),"")</f>
        <v/>
      </c>
    </row>
    <row r="74" spans="1:12" hidden="1">
      <c r="A74" s="28">
        <f>LOOKUP(A73,INICIO!A$10:A$109,INICIO!C$10:C$109)</f>
        <v>30</v>
      </c>
      <c r="B74" s="31" t="str">
        <f>CONCATENATE(C$7,".",C73," = ")</f>
        <v xml:space="preserve"> _distribuicao. = </v>
      </c>
      <c r="C74" s="23" t="str">
        <f t="shared" ref="C74" si="99">SUBSTITUTE(E74,"???",CONCATENATE(F74,G74,H74))</f>
        <v>0</v>
      </c>
      <c r="D74" s="23" t="s">
        <v>73</v>
      </c>
      <c r="E74" s="26">
        <f>LOOKUP(PESQUISAR!A74,AJUSTE!B:B,AJUSTE!F:F)</f>
        <v>0</v>
      </c>
      <c r="F74" s="30" t="s">
        <v>99</v>
      </c>
      <c r="G74" s="26" t="str">
        <f t="shared" ref="G74" si="100">C73</f>
        <v/>
      </c>
      <c r="H74" s="32" t="s">
        <v>100</v>
      </c>
      <c r="K74" s="38">
        <f t="shared" si="93"/>
        <v>0</v>
      </c>
      <c r="L74" s="9" t="str">
        <f t="shared" ref="L74" si="101">IF(H73,CONCATENATE("                            ",B74,C74,D74),"")</f>
        <v/>
      </c>
    </row>
    <row r="75" spans="1:12" hidden="1">
      <c r="A75" s="24">
        <v>26</v>
      </c>
      <c r="B75" s="21" t="s">
        <v>94</v>
      </c>
      <c r="C75" s="25" t="str">
        <f>LOOKUP(A75,INICIO!A$10:A$109,INICIO!K$10:K$109)</f>
        <v/>
      </c>
      <c r="D75" s="22" t="s">
        <v>95</v>
      </c>
      <c r="E75" s="22"/>
      <c r="F75" s="22"/>
      <c r="G75" s="22"/>
      <c r="H75" s="34">
        <f>LOOKUP(A75,INICIO!A$10:A$109,INICIO!J$10:J$109)</f>
        <v>0</v>
      </c>
      <c r="K75" s="38">
        <f t="shared" si="93"/>
        <v>0</v>
      </c>
      <c r="L75" s="9" t="str">
        <f t="shared" ref="L75" si="102">IF(H75,CONCATENATE("                        ",B75,C75,D75),"")</f>
        <v/>
      </c>
    </row>
    <row r="76" spans="1:12" hidden="1">
      <c r="A76" s="28">
        <f>LOOKUP(A75,INICIO!A$10:A$109,INICIO!C$10:C$109)</f>
        <v>30</v>
      </c>
      <c r="B76" s="31" t="str">
        <f>CONCATENATE(C$7,".",C75," = ")</f>
        <v xml:space="preserve"> _distribuicao. = </v>
      </c>
      <c r="C76" s="23" t="str">
        <f t="shared" ref="C76" si="103">SUBSTITUTE(E76,"???",CONCATENATE(F76,G76,H76))</f>
        <v>0</v>
      </c>
      <c r="D76" s="23" t="s">
        <v>73</v>
      </c>
      <c r="E76" s="26">
        <f>LOOKUP(PESQUISAR!A76,AJUSTE!B:B,AJUSTE!F:F)</f>
        <v>0</v>
      </c>
      <c r="F76" s="30" t="s">
        <v>99</v>
      </c>
      <c r="G76" s="26" t="str">
        <f t="shared" ref="G76" si="104">C75</f>
        <v/>
      </c>
      <c r="H76" s="32" t="s">
        <v>100</v>
      </c>
      <c r="K76" s="38">
        <f t="shared" si="93"/>
        <v>0</v>
      </c>
      <c r="L76" s="9" t="str">
        <f t="shared" ref="L76" si="105">IF(H75,CONCATENATE("                            ",B76,C76,D76),"")</f>
        <v/>
      </c>
    </row>
    <row r="77" spans="1:12" hidden="1">
      <c r="A77" s="24">
        <v>27</v>
      </c>
      <c r="B77" s="21" t="s">
        <v>94</v>
      </c>
      <c r="C77" s="25" t="str">
        <f>LOOKUP(A77,INICIO!A$10:A$109,INICIO!K$10:K$109)</f>
        <v/>
      </c>
      <c r="D77" s="22" t="s">
        <v>95</v>
      </c>
      <c r="E77" s="22"/>
      <c r="F77" s="22"/>
      <c r="G77" s="22"/>
      <c r="H77" s="34">
        <f>LOOKUP(A77,INICIO!A$10:A$109,INICIO!J$10:J$109)</f>
        <v>0</v>
      </c>
      <c r="K77" s="38">
        <f t="shared" si="93"/>
        <v>0</v>
      </c>
      <c r="L77" s="9" t="str">
        <f t="shared" ref="L77" si="106">IF(H77,CONCATENATE("                        ",B77,C77,D77),"")</f>
        <v/>
      </c>
    </row>
    <row r="78" spans="1:12" hidden="1">
      <c r="A78" s="28">
        <f>LOOKUP(A77,INICIO!A$10:A$109,INICIO!C$10:C$109)</f>
        <v>30</v>
      </c>
      <c r="B78" s="31" t="str">
        <f>CONCATENATE(C$7,".",C77," = ")</f>
        <v xml:space="preserve"> _distribuicao. = </v>
      </c>
      <c r="C78" s="23" t="str">
        <f t="shared" ref="C78" si="107">SUBSTITUTE(E78,"???",CONCATENATE(F78,G78,H78))</f>
        <v>0</v>
      </c>
      <c r="D78" s="23" t="s">
        <v>73</v>
      </c>
      <c r="E78" s="26">
        <f>LOOKUP(PESQUISAR!A78,AJUSTE!B:B,AJUSTE!F:F)</f>
        <v>0</v>
      </c>
      <c r="F78" s="30" t="s">
        <v>99</v>
      </c>
      <c r="G78" s="26" t="str">
        <f t="shared" ref="G78" si="108">C77</f>
        <v/>
      </c>
      <c r="H78" s="32" t="s">
        <v>100</v>
      </c>
      <c r="K78" s="38">
        <f t="shared" si="93"/>
        <v>0</v>
      </c>
      <c r="L78" s="9" t="str">
        <f t="shared" ref="L78" si="109">IF(H77,CONCATENATE("                            ",B78,C78,D78),"")</f>
        <v/>
      </c>
    </row>
    <row r="79" spans="1:12" hidden="1">
      <c r="A79" s="24">
        <v>28</v>
      </c>
      <c r="B79" s="21" t="s">
        <v>94</v>
      </c>
      <c r="C79" s="25" t="str">
        <f>LOOKUP(A79,INICIO!A$10:A$109,INICIO!K$10:K$109)</f>
        <v/>
      </c>
      <c r="D79" s="22" t="s">
        <v>95</v>
      </c>
      <c r="E79" s="22"/>
      <c r="F79" s="22"/>
      <c r="G79" s="22"/>
      <c r="H79" s="34">
        <f>LOOKUP(A79,INICIO!A$10:A$109,INICIO!J$10:J$109)</f>
        <v>0</v>
      </c>
      <c r="K79" s="38">
        <f t="shared" si="93"/>
        <v>0</v>
      </c>
      <c r="L79" s="9" t="str">
        <f t="shared" ref="L79" si="110">IF(H79,CONCATENATE("                        ",B79,C79,D79),"")</f>
        <v/>
      </c>
    </row>
    <row r="80" spans="1:12" hidden="1">
      <c r="A80" s="28">
        <f>LOOKUP(A79,INICIO!A$10:A$109,INICIO!C$10:C$109)</f>
        <v>30</v>
      </c>
      <c r="B80" s="31" t="str">
        <f>CONCATENATE(C$7,".",C79," = ")</f>
        <v xml:space="preserve"> _distribuicao. = </v>
      </c>
      <c r="C80" s="23" t="str">
        <f t="shared" ref="C80" si="111">SUBSTITUTE(E80,"???",CONCATENATE(F80,G80,H80))</f>
        <v>0</v>
      </c>
      <c r="D80" s="23" t="s">
        <v>73</v>
      </c>
      <c r="E80" s="26">
        <f>LOOKUP(PESQUISAR!A80,AJUSTE!B:B,AJUSTE!F:F)</f>
        <v>0</v>
      </c>
      <c r="F80" s="30" t="s">
        <v>99</v>
      </c>
      <c r="G80" s="26" t="str">
        <f t="shared" ref="G80" si="112">C79</f>
        <v/>
      </c>
      <c r="H80" s="32" t="s">
        <v>100</v>
      </c>
      <c r="K80" s="38">
        <f t="shared" si="93"/>
        <v>0</v>
      </c>
      <c r="L80" s="9" t="str">
        <f t="shared" ref="L80" si="113">IF(H79,CONCATENATE("                            ",B80,C80,D80),"")</f>
        <v/>
      </c>
    </row>
    <row r="81" spans="1:12" hidden="1">
      <c r="A81" s="24">
        <v>29</v>
      </c>
      <c r="B81" s="21" t="s">
        <v>94</v>
      </c>
      <c r="C81" s="25" t="str">
        <f>LOOKUP(A81,INICIO!A$10:A$109,INICIO!K$10:K$109)</f>
        <v/>
      </c>
      <c r="D81" s="22" t="s">
        <v>95</v>
      </c>
      <c r="E81" s="22"/>
      <c r="F81" s="22"/>
      <c r="G81" s="22"/>
      <c r="H81" s="34">
        <f>LOOKUP(A81,INICIO!A$10:A$109,INICIO!J$10:J$109)</f>
        <v>0</v>
      </c>
      <c r="K81" s="38">
        <f t="shared" si="93"/>
        <v>0</v>
      </c>
      <c r="L81" s="9" t="str">
        <f t="shared" ref="L81" si="114">IF(H81,CONCATENATE("                        ",B81,C81,D81),"")</f>
        <v/>
      </c>
    </row>
    <row r="82" spans="1:12" hidden="1">
      <c r="A82" s="28">
        <f>LOOKUP(A81,INICIO!A$10:A$109,INICIO!C$10:C$109)</f>
        <v>30</v>
      </c>
      <c r="B82" s="31" t="str">
        <f>CONCATENATE(C$7,".",C81," = ")</f>
        <v xml:space="preserve"> _distribuicao. = </v>
      </c>
      <c r="C82" s="23" t="str">
        <f t="shared" ref="C82" si="115">SUBSTITUTE(E82,"???",CONCATENATE(F82,G82,H82))</f>
        <v>0</v>
      </c>
      <c r="D82" s="23" t="s">
        <v>73</v>
      </c>
      <c r="E82" s="26">
        <f>LOOKUP(PESQUISAR!A82,AJUSTE!B:B,AJUSTE!F:F)</f>
        <v>0</v>
      </c>
      <c r="F82" s="30" t="s">
        <v>99</v>
      </c>
      <c r="G82" s="26" t="str">
        <f t="shared" ref="G82" si="116">C81</f>
        <v/>
      </c>
      <c r="H82" s="32" t="s">
        <v>100</v>
      </c>
      <c r="K82" s="38">
        <f t="shared" si="93"/>
        <v>0</v>
      </c>
      <c r="L82" s="9" t="str">
        <f t="shared" ref="L82" si="117">IF(H81,CONCATENATE("                            ",B82,C82,D82),"")</f>
        <v/>
      </c>
    </row>
    <row r="83" spans="1:12" hidden="1">
      <c r="A83" s="24">
        <v>30</v>
      </c>
      <c r="B83" s="21" t="s">
        <v>94</v>
      </c>
      <c r="C83" s="25" t="str">
        <f>LOOKUP(A83,INICIO!A$10:A$109,INICIO!K$10:K$109)</f>
        <v/>
      </c>
      <c r="D83" s="22" t="s">
        <v>95</v>
      </c>
      <c r="E83" s="22"/>
      <c r="F83" s="22"/>
      <c r="G83" s="22"/>
      <c r="H83" s="34">
        <f>LOOKUP(A83,INICIO!A$10:A$109,INICIO!J$10:J$109)</f>
        <v>0</v>
      </c>
      <c r="K83" s="38">
        <f t="shared" si="93"/>
        <v>0</v>
      </c>
      <c r="L83" s="9" t="str">
        <f t="shared" ref="L83" si="118">IF(H83,CONCATENATE("                        ",B83,C83,D83),"")</f>
        <v/>
      </c>
    </row>
    <row r="84" spans="1:12" hidden="1">
      <c r="A84" s="28">
        <f>LOOKUP(A83,INICIO!A$10:A$109,INICIO!C$10:C$109)</f>
        <v>30</v>
      </c>
      <c r="B84" s="31" t="str">
        <f>CONCATENATE(C$7,".",C83," = ")</f>
        <v xml:space="preserve"> _distribuicao. = </v>
      </c>
      <c r="C84" s="23" t="str">
        <f t="shared" ref="C84" si="119">SUBSTITUTE(E84,"???",CONCATENATE(F84,G84,H84))</f>
        <v>0</v>
      </c>
      <c r="D84" s="23" t="s">
        <v>73</v>
      </c>
      <c r="E84" s="26">
        <f>LOOKUP(PESQUISAR!A84,AJUSTE!B:B,AJUSTE!F:F)</f>
        <v>0</v>
      </c>
      <c r="F84" s="30" t="s">
        <v>99</v>
      </c>
      <c r="G84" s="26" t="str">
        <f t="shared" ref="G84" si="120">C83</f>
        <v/>
      </c>
      <c r="H84" s="32" t="s">
        <v>100</v>
      </c>
      <c r="K84" s="38">
        <f t="shared" si="93"/>
        <v>0</v>
      </c>
      <c r="L84" s="9" t="str">
        <f t="shared" ref="L84" si="121">IF(H83,CONCATENATE("                            ",B84,C84,D84),"")</f>
        <v/>
      </c>
    </row>
    <row r="85" spans="1:12" hidden="1">
      <c r="A85" s="24">
        <v>31</v>
      </c>
      <c r="B85" s="21" t="s">
        <v>94</v>
      </c>
      <c r="C85" s="25" t="str">
        <f>LOOKUP(A85,INICIO!A$10:A$109,INICIO!K$10:K$109)</f>
        <v/>
      </c>
      <c r="D85" s="22" t="s">
        <v>95</v>
      </c>
      <c r="E85" s="22"/>
      <c r="F85" s="22"/>
      <c r="G85" s="22"/>
      <c r="H85" s="34">
        <f>LOOKUP(A85,INICIO!A$10:A$109,INICIO!J$10:J$109)</f>
        <v>0</v>
      </c>
      <c r="K85" s="38">
        <f t="shared" si="93"/>
        <v>0</v>
      </c>
      <c r="L85" s="9" t="str">
        <f t="shared" ref="L85" si="122">IF(H85,CONCATENATE("                        ",B85,C85,D85),"")</f>
        <v/>
      </c>
    </row>
    <row r="86" spans="1:12" hidden="1">
      <c r="A86" s="28">
        <f>LOOKUP(A85,INICIO!A$10:A$109,INICIO!C$10:C$109)</f>
        <v>30</v>
      </c>
      <c r="B86" s="31" t="str">
        <f>CONCATENATE(C$7,".",C85," = ")</f>
        <v xml:space="preserve"> _distribuicao. = </v>
      </c>
      <c r="C86" s="23" t="str">
        <f t="shared" ref="C86" si="123">SUBSTITUTE(E86,"???",CONCATENATE(F86,G86,H86))</f>
        <v>0</v>
      </c>
      <c r="D86" s="23" t="s">
        <v>73</v>
      </c>
      <c r="E86" s="26">
        <f>LOOKUP(PESQUISAR!A86,AJUSTE!B:B,AJUSTE!F:F)</f>
        <v>0</v>
      </c>
      <c r="F86" s="30" t="s">
        <v>99</v>
      </c>
      <c r="G86" s="26" t="str">
        <f t="shared" ref="G86" si="124">C85</f>
        <v/>
      </c>
      <c r="H86" s="32" t="s">
        <v>100</v>
      </c>
      <c r="K86" s="38">
        <f t="shared" si="93"/>
        <v>0</v>
      </c>
      <c r="L86" s="9" t="str">
        <f t="shared" ref="L86" si="125">IF(H85,CONCATENATE("                            ",B86,C86,D86),"")</f>
        <v/>
      </c>
    </row>
    <row r="87" spans="1:12" hidden="1">
      <c r="A87" s="24">
        <v>32</v>
      </c>
      <c r="B87" s="21" t="s">
        <v>94</v>
      </c>
      <c r="C87" s="25" t="str">
        <f>LOOKUP(A87,INICIO!A$10:A$109,INICIO!K$10:K$109)</f>
        <v/>
      </c>
      <c r="D87" s="22" t="s">
        <v>95</v>
      </c>
      <c r="E87" s="22"/>
      <c r="F87" s="22"/>
      <c r="G87" s="22"/>
      <c r="H87" s="34">
        <f>LOOKUP(A87,INICIO!A$10:A$109,INICIO!J$10:J$109)</f>
        <v>0</v>
      </c>
      <c r="K87" s="38">
        <f t="shared" si="93"/>
        <v>0</v>
      </c>
      <c r="L87" s="9" t="str">
        <f t="shared" ref="L87" si="126">IF(H87,CONCATENATE("                        ",B87,C87,D87),"")</f>
        <v/>
      </c>
    </row>
    <row r="88" spans="1:12" hidden="1">
      <c r="A88" s="28">
        <f>LOOKUP(A87,INICIO!A$10:A$109,INICIO!C$10:C$109)</f>
        <v>30</v>
      </c>
      <c r="B88" s="31" t="str">
        <f>CONCATENATE(C$7,".",C87," = ")</f>
        <v xml:space="preserve"> _distribuicao. = </v>
      </c>
      <c r="C88" s="23" t="str">
        <f t="shared" ref="C88" si="127">SUBSTITUTE(E88,"???",CONCATENATE(F88,G88,H88))</f>
        <v>0</v>
      </c>
      <c r="D88" s="23" t="s">
        <v>73</v>
      </c>
      <c r="E88" s="26">
        <f>LOOKUP(PESQUISAR!A88,AJUSTE!B:B,AJUSTE!F:F)</f>
        <v>0</v>
      </c>
      <c r="F88" s="30" t="s">
        <v>99</v>
      </c>
      <c r="G88" s="26" t="str">
        <f t="shared" ref="G88" si="128">C87</f>
        <v/>
      </c>
      <c r="H88" s="32" t="s">
        <v>100</v>
      </c>
      <c r="K88" s="38">
        <f t="shared" si="93"/>
        <v>0</v>
      </c>
      <c r="L88" s="9" t="str">
        <f t="shared" ref="L88" si="129">IF(H87,CONCATENATE("                            ",B88,C88,D88),"")</f>
        <v/>
      </c>
    </row>
    <row r="89" spans="1:12" hidden="1">
      <c r="A89" s="24">
        <v>33</v>
      </c>
      <c r="B89" s="21" t="s">
        <v>94</v>
      </c>
      <c r="C89" s="25" t="str">
        <f>LOOKUP(A89,INICIO!A$10:A$109,INICIO!K$10:K$109)</f>
        <v/>
      </c>
      <c r="D89" s="22" t="s">
        <v>95</v>
      </c>
      <c r="E89" s="22"/>
      <c r="F89" s="22"/>
      <c r="G89" s="22"/>
      <c r="H89" s="34">
        <f>LOOKUP(A89,INICIO!A$10:A$109,INICIO!J$10:J$109)</f>
        <v>0</v>
      </c>
      <c r="K89" s="38">
        <f t="shared" si="93"/>
        <v>0</v>
      </c>
      <c r="L89" s="9" t="str">
        <f t="shared" ref="L89" si="130">IF(H89,CONCATENATE("                        ",B89,C89,D89),"")</f>
        <v/>
      </c>
    </row>
    <row r="90" spans="1:12" hidden="1">
      <c r="A90" s="28">
        <f>LOOKUP(A89,INICIO!A$10:A$109,INICIO!C$10:C$109)</f>
        <v>30</v>
      </c>
      <c r="B90" s="31" t="str">
        <f>CONCATENATE(C$7,".",C89," = ")</f>
        <v xml:space="preserve"> _distribuicao. = </v>
      </c>
      <c r="C90" s="23" t="str">
        <f t="shared" ref="C90" si="131">SUBSTITUTE(E90,"???",CONCATENATE(F90,G90,H90))</f>
        <v>0</v>
      </c>
      <c r="D90" s="23" t="s">
        <v>73</v>
      </c>
      <c r="E90" s="26">
        <f>LOOKUP(PESQUISAR!A90,AJUSTE!B:B,AJUSTE!F:F)</f>
        <v>0</v>
      </c>
      <c r="F90" s="30" t="s">
        <v>99</v>
      </c>
      <c r="G90" s="26" t="str">
        <f t="shared" ref="G90" si="132">C89</f>
        <v/>
      </c>
      <c r="H90" s="32" t="s">
        <v>100</v>
      </c>
      <c r="K90" s="38">
        <f t="shared" si="93"/>
        <v>0</v>
      </c>
      <c r="L90" s="9" t="str">
        <f t="shared" ref="L90" si="133">IF(H89,CONCATENATE("                            ",B90,C90,D90),"")</f>
        <v/>
      </c>
    </row>
    <row r="91" spans="1:12" hidden="1">
      <c r="A91" s="24">
        <v>34</v>
      </c>
      <c r="B91" s="21" t="s">
        <v>94</v>
      </c>
      <c r="C91" s="25" t="str">
        <f>LOOKUP(A91,INICIO!A$10:A$109,INICIO!K$10:K$109)</f>
        <v/>
      </c>
      <c r="D91" s="22" t="s">
        <v>95</v>
      </c>
      <c r="E91" s="22"/>
      <c r="F91" s="22"/>
      <c r="G91" s="22"/>
      <c r="H91" s="34">
        <f>LOOKUP(A91,INICIO!A$10:A$109,INICIO!J$10:J$109)</f>
        <v>0</v>
      </c>
      <c r="K91" s="38">
        <f t="shared" si="93"/>
        <v>0</v>
      </c>
      <c r="L91" s="9" t="str">
        <f t="shared" ref="L91" si="134">IF(H91,CONCATENATE("                        ",B91,C91,D91),"")</f>
        <v/>
      </c>
    </row>
    <row r="92" spans="1:12" hidden="1">
      <c r="A92" s="28">
        <f>LOOKUP(A91,INICIO!A$10:A$109,INICIO!C$10:C$109)</f>
        <v>30</v>
      </c>
      <c r="B92" s="31" t="str">
        <f>CONCATENATE(C$7,".",C91," = ")</f>
        <v xml:space="preserve"> _distribuicao. = </v>
      </c>
      <c r="C92" s="23" t="str">
        <f t="shared" ref="C92" si="135">SUBSTITUTE(E92,"???",CONCATENATE(F92,G92,H92))</f>
        <v>0</v>
      </c>
      <c r="D92" s="23" t="s">
        <v>73</v>
      </c>
      <c r="E92" s="26">
        <f>LOOKUP(PESQUISAR!A92,AJUSTE!B:B,AJUSTE!F:F)</f>
        <v>0</v>
      </c>
      <c r="F92" s="30" t="s">
        <v>99</v>
      </c>
      <c r="G92" s="26" t="str">
        <f t="shared" ref="G92" si="136">C91</f>
        <v/>
      </c>
      <c r="H92" s="32" t="s">
        <v>100</v>
      </c>
      <c r="K92" s="38">
        <f t="shared" si="93"/>
        <v>0</v>
      </c>
      <c r="L92" s="9" t="str">
        <f t="shared" ref="L92" si="137">IF(H91,CONCATENATE("                            ",B92,C92,D92),"")</f>
        <v/>
      </c>
    </row>
    <row r="93" spans="1:12" hidden="1">
      <c r="A93" s="24">
        <v>35</v>
      </c>
      <c r="B93" s="21" t="s">
        <v>94</v>
      </c>
      <c r="C93" s="25" t="str">
        <f>LOOKUP(A93,INICIO!A$10:A$109,INICIO!K$10:K$109)</f>
        <v/>
      </c>
      <c r="D93" s="22" t="s">
        <v>95</v>
      </c>
      <c r="E93" s="22"/>
      <c r="F93" s="22"/>
      <c r="G93" s="22"/>
      <c r="H93" s="34">
        <f>LOOKUP(A93,INICIO!A$10:A$109,INICIO!J$10:J$109)</f>
        <v>0</v>
      </c>
      <c r="K93" s="38">
        <f t="shared" si="93"/>
        <v>0</v>
      </c>
      <c r="L93" s="9" t="str">
        <f t="shared" ref="L93" si="138">IF(H93,CONCATENATE("                        ",B93,C93,D93),"")</f>
        <v/>
      </c>
    </row>
    <row r="94" spans="1:12" hidden="1">
      <c r="A94" s="28">
        <f>LOOKUP(A93,INICIO!A$10:A$109,INICIO!C$10:C$109)</f>
        <v>30</v>
      </c>
      <c r="B94" s="31" t="str">
        <f>CONCATENATE(C$7,".",C93," = ")</f>
        <v xml:space="preserve"> _distribuicao. = </v>
      </c>
      <c r="C94" s="23" t="str">
        <f t="shared" ref="C94" si="139">SUBSTITUTE(E94,"???",CONCATENATE(F94,G94,H94))</f>
        <v>0</v>
      </c>
      <c r="D94" s="23" t="s">
        <v>73</v>
      </c>
      <c r="E94" s="26">
        <f>LOOKUP(PESQUISAR!A94,AJUSTE!B:B,AJUSTE!F:F)</f>
        <v>0</v>
      </c>
      <c r="F94" s="30" t="s">
        <v>99</v>
      </c>
      <c r="G94" s="26" t="str">
        <f t="shared" ref="G94" si="140">C93</f>
        <v/>
      </c>
      <c r="H94" s="32" t="s">
        <v>100</v>
      </c>
      <c r="K94" s="38">
        <f t="shared" si="93"/>
        <v>0</v>
      </c>
      <c r="L94" s="9" t="str">
        <f t="shared" ref="L94" si="141">IF(H93,CONCATENATE("                            ",B94,C94,D94),"")</f>
        <v/>
      </c>
    </row>
    <row r="95" spans="1:12" hidden="1">
      <c r="A95" s="24">
        <v>36</v>
      </c>
      <c r="B95" s="21" t="s">
        <v>94</v>
      </c>
      <c r="C95" s="25" t="str">
        <f>LOOKUP(A95,INICIO!A$10:A$109,INICIO!K$10:K$109)</f>
        <v/>
      </c>
      <c r="D95" s="22" t="s">
        <v>95</v>
      </c>
      <c r="E95" s="22"/>
      <c r="F95" s="22"/>
      <c r="G95" s="22"/>
      <c r="H95" s="34">
        <f>LOOKUP(A95,INICIO!A$10:A$109,INICIO!J$10:J$109)</f>
        <v>0</v>
      </c>
      <c r="K95" s="38">
        <f t="shared" si="93"/>
        <v>0</v>
      </c>
      <c r="L95" s="9" t="str">
        <f t="shared" ref="L95" si="142">IF(H95,CONCATENATE("                        ",B95,C95,D95),"")</f>
        <v/>
      </c>
    </row>
    <row r="96" spans="1:12" hidden="1">
      <c r="A96" s="28">
        <f>LOOKUP(A95,INICIO!A$10:A$109,INICIO!C$10:C$109)</f>
        <v>30</v>
      </c>
      <c r="B96" s="31" t="str">
        <f>CONCATENATE(C$7,".",C95," = ")</f>
        <v xml:space="preserve"> _distribuicao. = </v>
      </c>
      <c r="C96" s="23" t="str">
        <f t="shared" ref="C96" si="143">SUBSTITUTE(E96,"???",CONCATENATE(F96,G96,H96))</f>
        <v>0</v>
      </c>
      <c r="D96" s="23" t="s">
        <v>73</v>
      </c>
      <c r="E96" s="26">
        <f>LOOKUP(PESQUISAR!A96,AJUSTE!B:B,AJUSTE!F:F)</f>
        <v>0</v>
      </c>
      <c r="F96" s="30" t="s">
        <v>99</v>
      </c>
      <c r="G96" s="26" t="str">
        <f t="shared" ref="G96" si="144">C95</f>
        <v/>
      </c>
      <c r="H96" s="32" t="s">
        <v>100</v>
      </c>
      <c r="K96" s="38">
        <f t="shared" si="93"/>
        <v>0</v>
      </c>
      <c r="L96" s="9" t="str">
        <f t="shared" ref="L96" si="145">IF(H95,CONCATENATE("                            ",B96,C96,D96),"")</f>
        <v/>
      </c>
    </row>
    <row r="97" spans="1:12" hidden="1">
      <c r="A97" s="24">
        <v>37</v>
      </c>
      <c r="B97" s="21" t="s">
        <v>94</v>
      </c>
      <c r="C97" s="25" t="str">
        <f>LOOKUP(A97,INICIO!A$10:A$109,INICIO!K$10:K$109)</f>
        <v/>
      </c>
      <c r="D97" s="22" t="s">
        <v>95</v>
      </c>
      <c r="E97" s="22"/>
      <c r="F97" s="22"/>
      <c r="G97" s="22"/>
      <c r="H97" s="34">
        <f>LOOKUP(A97,INICIO!A$10:A$109,INICIO!J$10:J$109)</f>
        <v>0</v>
      </c>
      <c r="K97" s="38">
        <f t="shared" si="93"/>
        <v>0</v>
      </c>
      <c r="L97" s="9" t="str">
        <f t="shared" ref="L97" si="146">IF(H97,CONCATENATE("                        ",B97,C97,D97),"")</f>
        <v/>
      </c>
    </row>
    <row r="98" spans="1:12" hidden="1">
      <c r="A98" s="28">
        <f>LOOKUP(A97,INICIO!A$10:A$109,INICIO!C$10:C$109)</f>
        <v>30</v>
      </c>
      <c r="B98" s="31" t="str">
        <f>CONCATENATE(C$7,".",C97," = ")</f>
        <v xml:space="preserve"> _distribuicao. = </v>
      </c>
      <c r="C98" s="23" t="str">
        <f t="shared" ref="C98" si="147">SUBSTITUTE(E98,"???",CONCATENATE(F98,G98,H98))</f>
        <v>0</v>
      </c>
      <c r="D98" s="23" t="s">
        <v>73</v>
      </c>
      <c r="E98" s="26">
        <f>LOOKUP(PESQUISAR!A98,AJUSTE!B:B,AJUSTE!F:F)</f>
        <v>0</v>
      </c>
      <c r="F98" s="30" t="s">
        <v>99</v>
      </c>
      <c r="G98" s="26" t="str">
        <f t="shared" ref="G98" si="148">C97</f>
        <v/>
      </c>
      <c r="H98" s="32" t="s">
        <v>100</v>
      </c>
      <c r="K98" s="38">
        <f t="shared" si="93"/>
        <v>0</v>
      </c>
      <c r="L98" s="9" t="str">
        <f t="shared" ref="L98" si="149">IF(H97,CONCATENATE("                            ",B98,C98,D98),"")</f>
        <v/>
      </c>
    </row>
    <row r="99" spans="1:12" hidden="1">
      <c r="A99" s="24">
        <v>38</v>
      </c>
      <c r="B99" s="21" t="s">
        <v>94</v>
      </c>
      <c r="C99" s="25" t="str">
        <f>LOOKUP(A99,INICIO!A$10:A$109,INICIO!K$10:K$109)</f>
        <v/>
      </c>
      <c r="D99" s="22" t="s">
        <v>95</v>
      </c>
      <c r="E99" s="22"/>
      <c r="F99" s="22"/>
      <c r="G99" s="22"/>
      <c r="H99" s="34">
        <f>LOOKUP(A99,INICIO!A$10:A$109,INICIO!J$10:J$109)</f>
        <v>0</v>
      </c>
      <c r="K99" s="38">
        <f t="shared" si="93"/>
        <v>0</v>
      </c>
      <c r="L99" s="9" t="str">
        <f t="shared" ref="L99" si="150">IF(H99,CONCATENATE("                        ",B99,C99,D99),"")</f>
        <v/>
      </c>
    </row>
    <row r="100" spans="1:12" hidden="1">
      <c r="A100" s="28">
        <f>LOOKUP(A99,INICIO!A$10:A$109,INICIO!C$10:C$109)</f>
        <v>30</v>
      </c>
      <c r="B100" s="31" t="str">
        <f>CONCATENATE(C$7,".",C99," = ")</f>
        <v xml:space="preserve"> _distribuicao. = </v>
      </c>
      <c r="C100" s="23" t="str">
        <f t="shared" ref="C100" si="151">SUBSTITUTE(E100,"???",CONCATENATE(F100,G100,H100))</f>
        <v>0</v>
      </c>
      <c r="D100" s="23" t="s">
        <v>73</v>
      </c>
      <c r="E100" s="26">
        <f>LOOKUP(PESQUISAR!A100,AJUSTE!B:B,AJUSTE!F:F)</f>
        <v>0</v>
      </c>
      <c r="F100" s="30" t="s">
        <v>99</v>
      </c>
      <c r="G100" s="26" t="str">
        <f t="shared" ref="G100" si="152">C99</f>
        <v/>
      </c>
      <c r="H100" s="32" t="s">
        <v>100</v>
      </c>
      <c r="K100" s="38">
        <f t="shared" si="93"/>
        <v>0</v>
      </c>
      <c r="L100" s="9" t="str">
        <f t="shared" ref="L100" si="153">IF(H99,CONCATENATE("                            ",B100,C100,D100),"")</f>
        <v/>
      </c>
    </row>
    <row r="101" spans="1:12" hidden="1">
      <c r="A101" s="24">
        <v>39</v>
      </c>
      <c r="B101" s="21" t="s">
        <v>94</v>
      </c>
      <c r="C101" s="25" t="str">
        <f>LOOKUP(A101,INICIO!A$10:A$109,INICIO!K$10:K$109)</f>
        <v/>
      </c>
      <c r="D101" s="22" t="s">
        <v>95</v>
      </c>
      <c r="E101" s="22"/>
      <c r="F101" s="22"/>
      <c r="G101" s="22"/>
      <c r="H101" s="34">
        <f>LOOKUP(A101,INICIO!A$10:A$109,INICIO!J$10:J$109)</f>
        <v>0</v>
      </c>
      <c r="K101" s="38">
        <f t="shared" si="93"/>
        <v>0</v>
      </c>
      <c r="L101" s="9" t="str">
        <f t="shared" ref="L101" si="154">IF(H101,CONCATENATE("                        ",B101,C101,D101),"")</f>
        <v/>
      </c>
    </row>
    <row r="102" spans="1:12" hidden="1">
      <c r="A102" s="28">
        <f>LOOKUP(A101,INICIO!A$10:A$109,INICIO!C$10:C$109)</f>
        <v>30</v>
      </c>
      <c r="B102" s="31" t="str">
        <f>CONCATENATE(C$7,".",C101," = ")</f>
        <v xml:space="preserve"> _distribuicao. = </v>
      </c>
      <c r="C102" s="23" t="str">
        <f t="shared" ref="C102" si="155">SUBSTITUTE(E102,"???",CONCATENATE(F102,G102,H102))</f>
        <v>0</v>
      </c>
      <c r="D102" s="23" t="s">
        <v>73</v>
      </c>
      <c r="E102" s="26">
        <f>LOOKUP(PESQUISAR!A102,AJUSTE!B:B,AJUSTE!F:F)</f>
        <v>0</v>
      </c>
      <c r="F102" s="30" t="s">
        <v>99</v>
      </c>
      <c r="G102" s="26" t="str">
        <f t="shared" ref="G102" si="156">C101</f>
        <v/>
      </c>
      <c r="H102" s="32" t="s">
        <v>100</v>
      </c>
      <c r="K102" s="38">
        <f t="shared" si="93"/>
        <v>0</v>
      </c>
      <c r="L102" s="9" t="str">
        <f t="shared" ref="L102" si="157">IF(H101,CONCATENATE("                            ",B102,C102,D102),"")</f>
        <v/>
      </c>
    </row>
    <row r="103" spans="1:12" hidden="1">
      <c r="A103" s="24">
        <v>40</v>
      </c>
      <c r="B103" s="21" t="s">
        <v>94</v>
      </c>
      <c r="C103" s="25" t="str">
        <f>LOOKUP(A103,INICIO!A$10:A$109,INICIO!K$10:K$109)</f>
        <v/>
      </c>
      <c r="D103" s="22" t="s">
        <v>95</v>
      </c>
      <c r="E103" s="22"/>
      <c r="F103" s="22"/>
      <c r="G103" s="22"/>
      <c r="H103" s="34">
        <f>LOOKUP(A103,INICIO!A$10:A$109,INICIO!J$10:J$109)</f>
        <v>0</v>
      </c>
      <c r="K103" s="38">
        <f t="shared" si="93"/>
        <v>0</v>
      </c>
      <c r="L103" s="9" t="str">
        <f t="shared" ref="L103" si="158">IF(H103,CONCATENATE("                        ",B103,C103,D103),"")</f>
        <v/>
      </c>
    </row>
    <row r="104" spans="1:12" hidden="1">
      <c r="A104" s="28">
        <f>LOOKUP(A103,INICIO!A$10:A$109,INICIO!C$10:C$109)</f>
        <v>30</v>
      </c>
      <c r="B104" s="31" t="str">
        <f>CONCATENATE(C$7,".",C103," = ")</f>
        <v xml:space="preserve"> _distribuicao. = </v>
      </c>
      <c r="C104" s="23" t="str">
        <f t="shared" ref="C104" si="159">SUBSTITUTE(E104,"???",CONCATENATE(F104,G104,H104))</f>
        <v>0</v>
      </c>
      <c r="D104" s="23" t="s">
        <v>73</v>
      </c>
      <c r="E104" s="26">
        <f>LOOKUP(PESQUISAR!A104,AJUSTE!B:B,AJUSTE!F:F)</f>
        <v>0</v>
      </c>
      <c r="F104" s="30" t="s">
        <v>99</v>
      </c>
      <c r="G104" s="26" t="str">
        <f t="shared" ref="G104" si="160">C103</f>
        <v/>
      </c>
      <c r="H104" s="32" t="s">
        <v>100</v>
      </c>
      <c r="K104" s="38">
        <f t="shared" si="93"/>
        <v>0</v>
      </c>
      <c r="L104" s="9" t="str">
        <f t="shared" ref="L104" si="161">IF(H103,CONCATENATE("                            ",B104,C104,D104),"")</f>
        <v/>
      </c>
    </row>
    <row r="105" spans="1:12" hidden="1">
      <c r="A105" s="24">
        <v>41</v>
      </c>
      <c r="B105" s="21" t="s">
        <v>94</v>
      </c>
      <c r="C105" s="25" t="str">
        <f>LOOKUP(A105,INICIO!A$10:A$109,INICIO!K$10:K$109)</f>
        <v/>
      </c>
      <c r="D105" s="22" t="s">
        <v>95</v>
      </c>
      <c r="E105" s="22"/>
      <c r="F105" s="22"/>
      <c r="G105" s="22"/>
      <c r="H105" s="34">
        <f>LOOKUP(A105,INICIO!A$10:A$109,INICIO!J$10:J$109)</f>
        <v>0</v>
      </c>
      <c r="K105" s="38">
        <f t="shared" si="93"/>
        <v>0</v>
      </c>
      <c r="L105" s="9" t="str">
        <f t="shared" ref="L105" si="162">IF(H105,CONCATENATE("                        ",B105,C105,D105),"")</f>
        <v/>
      </c>
    </row>
    <row r="106" spans="1:12" hidden="1">
      <c r="A106" s="28">
        <f>LOOKUP(A105,INICIO!A$10:A$109,INICIO!C$10:C$109)</f>
        <v>30</v>
      </c>
      <c r="B106" s="31" t="str">
        <f>CONCATENATE(C$7,".",C105," = ")</f>
        <v xml:space="preserve"> _distribuicao. = </v>
      </c>
      <c r="C106" s="23" t="str">
        <f t="shared" ref="C106" si="163">SUBSTITUTE(E106,"???",CONCATENATE(F106,G106,H106))</f>
        <v>0</v>
      </c>
      <c r="D106" s="23" t="s">
        <v>73</v>
      </c>
      <c r="E106" s="26">
        <f>LOOKUP(PESQUISAR!A106,AJUSTE!B:B,AJUSTE!F:F)</f>
        <v>0</v>
      </c>
      <c r="F106" s="30" t="s">
        <v>99</v>
      </c>
      <c r="G106" s="26" t="str">
        <f t="shared" ref="G106" si="164">C105</f>
        <v/>
      </c>
      <c r="H106" s="32" t="s">
        <v>100</v>
      </c>
      <c r="K106" s="38">
        <f t="shared" si="93"/>
        <v>0</v>
      </c>
      <c r="L106" s="9" t="str">
        <f t="shared" ref="L106" si="165">IF(H105,CONCATENATE("                            ",B106,C106,D106),"")</f>
        <v/>
      </c>
    </row>
    <row r="107" spans="1:12" hidden="1">
      <c r="A107" s="24">
        <v>42</v>
      </c>
      <c r="B107" s="21" t="s">
        <v>94</v>
      </c>
      <c r="C107" s="25" t="str">
        <f>LOOKUP(A107,INICIO!A$10:A$109,INICIO!K$10:K$109)</f>
        <v/>
      </c>
      <c r="D107" s="22" t="s">
        <v>95</v>
      </c>
      <c r="E107" s="22"/>
      <c r="F107" s="22"/>
      <c r="G107" s="22"/>
      <c r="H107" s="34">
        <f>LOOKUP(A107,INICIO!A$10:A$109,INICIO!J$10:J$109)</f>
        <v>0</v>
      </c>
      <c r="K107" s="38">
        <f t="shared" si="93"/>
        <v>0</v>
      </c>
      <c r="L107" s="9" t="str">
        <f t="shared" ref="L107" si="166">IF(H107,CONCATENATE("                        ",B107,C107,D107),"")</f>
        <v/>
      </c>
    </row>
    <row r="108" spans="1:12" hidden="1">
      <c r="A108" s="28">
        <f>LOOKUP(A107,INICIO!A$10:A$109,INICIO!C$10:C$109)</f>
        <v>30</v>
      </c>
      <c r="B108" s="31" t="str">
        <f>CONCATENATE(C$7,".",C107," = ")</f>
        <v xml:space="preserve"> _distribuicao. = </v>
      </c>
      <c r="C108" s="23" t="str">
        <f t="shared" ref="C108" si="167">SUBSTITUTE(E108,"???",CONCATENATE(F108,G108,H108))</f>
        <v>0</v>
      </c>
      <c r="D108" s="23" t="s">
        <v>73</v>
      </c>
      <c r="E108" s="26">
        <f>LOOKUP(PESQUISAR!A108,AJUSTE!B:B,AJUSTE!F:F)</f>
        <v>0</v>
      </c>
      <c r="F108" s="30" t="s">
        <v>99</v>
      </c>
      <c r="G108" s="26" t="str">
        <f t="shared" ref="G108" si="168">C107</f>
        <v/>
      </c>
      <c r="H108" s="32" t="s">
        <v>100</v>
      </c>
      <c r="K108" s="38">
        <f t="shared" si="93"/>
        <v>0</v>
      </c>
      <c r="L108" s="9" t="str">
        <f t="shared" ref="L108" si="169">IF(H107,CONCATENATE("                            ",B108,C108,D108),"")</f>
        <v/>
      </c>
    </row>
    <row r="109" spans="1:12" hidden="1">
      <c r="A109" s="24">
        <v>43</v>
      </c>
      <c r="B109" s="21" t="s">
        <v>94</v>
      </c>
      <c r="C109" s="25" t="str">
        <f>LOOKUP(A109,INICIO!A$10:A$109,INICIO!K$10:K$109)</f>
        <v/>
      </c>
      <c r="D109" s="22" t="s">
        <v>95</v>
      </c>
      <c r="E109" s="22"/>
      <c r="F109" s="22"/>
      <c r="G109" s="22"/>
      <c r="H109" s="34">
        <f>LOOKUP(A109,INICIO!A$10:A$109,INICIO!J$10:J$109)</f>
        <v>0</v>
      </c>
      <c r="K109" s="38">
        <f t="shared" si="93"/>
        <v>0</v>
      </c>
      <c r="L109" s="9" t="str">
        <f t="shared" ref="L109" si="170">IF(H109,CONCATENATE("                        ",B109,C109,D109),"")</f>
        <v/>
      </c>
    </row>
    <row r="110" spans="1:12" hidden="1">
      <c r="A110" s="28">
        <f>LOOKUP(A109,INICIO!A$10:A$109,INICIO!C$10:C$109)</f>
        <v>30</v>
      </c>
      <c r="B110" s="31" t="str">
        <f>CONCATENATE(C$7,".",C109," = ")</f>
        <v xml:space="preserve"> _distribuicao. = </v>
      </c>
      <c r="C110" s="23" t="str">
        <f t="shared" ref="C110" si="171">SUBSTITUTE(E110,"???",CONCATENATE(F110,G110,H110))</f>
        <v>0</v>
      </c>
      <c r="D110" s="23" t="s">
        <v>73</v>
      </c>
      <c r="E110" s="26">
        <f>LOOKUP(PESQUISAR!A110,AJUSTE!B:B,AJUSTE!F:F)</f>
        <v>0</v>
      </c>
      <c r="F110" s="30" t="s">
        <v>99</v>
      </c>
      <c r="G110" s="26" t="str">
        <f t="shared" ref="G110" si="172">C109</f>
        <v/>
      </c>
      <c r="H110" s="32" t="s">
        <v>100</v>
      </c>
      <c r="K110" s="38">
        <f t="shared" si="93"/>
        <v>0</v>
      </c>
      <c r="L110" s="9" t="str">
        <f t="shared" ref="L110" si="173">IF(H109,CONCATENATE("                            ",B110,C110,D110),"")</f>
        <v/>
      </c>
    </row>
    <row r="111" spans="1:12" hidden="1">
      <c r="A111" s="24">
        <v>44</v>
      </c>
      <c r="B111" s="21" t="s">
        <v>94</v>
      </c>
      <c r="C111" s="25" t="str">
        <f>LOOKUP(A111,INICIO!A$10:A$109,INICIO!K$10:K$109)</f>
        <v/>
      </c>
      <c r="D111" s="22" t="s">
        <v>95</v>
      </c>
      <c r="E111" s="22"/>
      <c r="F111" s="22"/>
      <c r="G111" s="22"/>
      <c r="H111" s="34">
        <f>LOOKUP(A111,INICIO!A$10:A$109,INICIO!J$10:J$109)</f>
        <v>0</v>
      </c>
      <c r="K111" s="38">
        <f t="shared" si="93"/>
        <v>0</v>
      </c>
      <c r="L111" s="9" t="str">
        <f t="shared" ref="L111" si="174">IF(H111,CONCATENATE("                        ",B111,C111,D111),"")</f>
        <v/>
      </c>
    </row>
    <row r="112" spans="1:12" hidden="1">
      <c r="A112" s="28">
        <f>LOOKUP(A111,INICIO!A$10:A$109,INICIO!C$10:C$109)</f>
        <v>30</v>
      </c>
      <c r="B112" s="31" t="str">
        <f>CONCATENATE(C$7,".",C111," = ")</f>
        <v xml:space="preserve"> _distribuicao. = </v>
      </c>
      <c r="C112" s="23" t="str">
        <f t="shared" ref="C112" si="175">SUBSTITUTE(E112,"???",CONCATENATE(F112,G112,H112))</f>
        <v>0</v>
      </c>
      <c r="D112" s="23" t="s">
        <v>73</v>
      </c>
      <c r="E112" s="26">
        <f>LOOKUP(PESQUISAR!A112,AJUSTE!B:B,AJUSTE!F:F)</f>
        <v>0</v>
      </c>
      <c r="F112" s="30" t="s">
        <v>99</v>
      </c>
      <c r="G112" s="26" t="str">
        <f t="shared" ref="G112" si="176">C111</f>
        <v/>
      </c>
      <c r="H112" s="32" t="s">
        <v>100</v>
      </c>
      <c r="K112" s="38">
        <f t="shared" si="93"/>
        <v>0</v>
      </c>
      <c r="L112" s="9" t="str">
        <f t="shared" ref="L112" si="177">IF(H111,CONCATENATE("                            ",B112,C112,D112),"")</f>
        <v/>
      </c>
    </row>
    <row r="113" spans="1:12" hidden="1">
      <c r="A113" s="24">
        <v>45</v>
      </c>
      <c r="B113" s="21" t="s">
        <v>94</v>
      </c>
      <c r="C113" s="25" t="str">
        <f>LOOKUP(A113,INICIO!A$10:A$109,INICIO!K$10:K$109)</f>
        <v/>
      </c>
      <c r="D113" s="22" t="s">
        <v>95</v>
      </c>
      <c r="E113" s="22"/>
      <c r="F113" s="22"/>
      <c r="G113" s="22"/>
      <c r="H113" s="34">
        <f>LOOKUP(A113,INICIO!A$10:A$109,INICIO!J$10:J$109)</f>
        <v>0</v>
      </c>
      <c r="K113" s="38">
        <f t="shared" si="93"/>
        <v>0</v>
      </c>
      <c r="L113" s="9" t="str">
        <f t="shared" ref="L113" si="178">IF(H113,CONCATENATE("                        ",B113,C113,D113),"")</f>
        <v/>
      </c>
    </row>
    <row r="114" spans="1:12" hidden="1">
      <c r="A114" s="28">
        <f>LOOKUP(A113,INICIO!A$10:A$109,INICIO!C$10:C$109)</f>
        <v>30</v>
      </c>
      <c r="B114" s="31" t="str">
        <f>CONCATENATE(C$7,".",C113," = ")</f>
        <v xml:space="preserve"> _distribuicao. = </v>
      </c>
      <c r="C114" s="23" t="str">
        <f t="shared" ref="C114" si="179">SUBSTITUTE(E114,"???",CONCATENATE(F114,G114,H114))</f>
        <v>0</v>
      </c>
      <c r="D114" s="23" t="s">
        <v>73</v>
      </c>
      <c r="E114" s="26">
        <f>LOOKUP(PESQUISAR!A114,AJUSTE!B:B,AJUSTE!F:F)</f>
        <v>0</v>
      </c>
      <c r="F114" s="30" t="s">
        <v>99</v>
      </c>
      <c r="G114" s="26" t="str">
        <f t="shared" ref="G114" si="180">C113</f>
        <v/>
      </c>
      <c r="H114" s="32" t="s">
        <v>100</v>
      </c>
      <c r="K114" s="38">
        <f t="shared" si="93"/>
        <v>0</v>
      </c>
      <c r="L114" s="9" t="str">
        <f t="shared" ref="L114" si="181">IF(H113,CONCATENATE("                            ",B114,C114,D114),"")</f>
        <v/>
      </c>
    </row>
    <row r="115" spans="1:12" hidden="1">
      <c r="A115" s="24">
        <v>46</v>
      </c>
      <c r="B115" s="21" t="s">
        <v>94</v>
      </c>
      <c r="C115" s="25" t="str">
        <f>LOOKUP(A115,INICIO!A$10:A$109,INICIO!K$10:K$109)</f>
        <v/>
      </c>
      <c r="D115" s="22" t="s">
        <v>95</v>
      </c>
      <c r="E115" s="22"/>
      <c r="F115" s="22"/>
      <c r="G115" s="22"/>
      <c r="H115" s="34">
        <f>LOOKUP(A115,INICIO!A$10:A$109,INICIO!J$10:J$109)</f>
        <v>0</v>
      </c>
      <c r="K115" s="38">
        <f t="shared" si="93"/>
        <v>0</v>
      </c>
      <c r="L115" s="9" t="str">
        <f t="shared" ref="L115" si="182">IF(H115,CONCATENATE("                        ",B115,C115,D115),"")</f>
        <v/>
      </c>
    </row>
    <row r="116" spans="1:12" hidden="1">
      <c r="A116" s="28">
        <f>LOOKUP(A115,INICIO!A$10:A$109,INICIO!C$10:C$109)</f>
        <v>30</v>
      </c>
      <c r="B116" s="31" t="str">
        <f>CONCATENATE(C$7,".",C115," = ")</f>
        <v xml:space="preserve"> _distribuicao. = </v>
      </c>
      <c r="C116" s="23" t="str">
        <f t="shared" ref="C116" si="183">SUBSTITUTE(E116,"???",CONCATENATE(F116,G116,H116))</f>
        <v>0</v>
      </c>
      <c r="D116" s="23" t="s">
        <v>73</v>
      </c>
      <c r="E116" s="26">
        <f>LOOKUP(PESQUISAR!A116,AJUSTE!B:B,AJUSTE!F:F)</f>
        <v>0</v>
      </c>
      <c r="F116" s="30" t="s">
        <v>99</v>
      </c>
      <c r="G116" s="26" t="str">
        <f t="shared" ref="G116" si="184">C115</f>
        <v/>
      </c>
      <c r="H116" s="32" t="s">
        <v>100</v>
      </c>
      <c r="K116" s="38">
        <f t="shared" si="93"/>
        <v>0</v>
      </c>
      <c r="L116" s="9" t="str">
        <f t="shared" ref="L116" si="185">IF(H115,CONCATENATE("                            ",B116,C116,D116),"")</f>
        <v/>
      </c>
    </row>
    <row r="117" spans="1:12" hidden="1">
      <c r="A117" s="24">
        <v>47</v>
      </c>
      <c r="B117" s="21" t="s">
        <v>94</v>
      </c>
      <c r="C117" s="25" t="str">
        <f>LOOKUP(A117,INICIO!A$10:A$109,INICIO!K$10:K$109)</f>
        <v/>
      </c>
      <c r="D117" s="22" t="s">
        <v>95</v>
      </c>
      <c r="E117" s="22"/>
      <c r="F117" s="22"/>
      <c r="G117" s="22"/>
      <c r="H117" s="34">
        <f>LOOKUP(A117,INICIO!A$10:A$109,INICIO!J$10:J$109)</f>
        <v>0</v>
      </c>
      <c r="K117" s="38">
        <f t="shared" si="93"/>
        <v>0</v>
      </c>
      <c r="L117" s="9" t="str">
        <f t="shared" ref="L117" si="186">IF(H117,CONCATENATE("                        ",B117,C117,D117),"")</f>
        <v/>
      </c>
    </row>
    <row r="118" spans="1:12" hidden="1">
      <c r="A118" s="28">
        <f>LOOKUP(A117,INICIO!A$10:A$109,INICIO!C$10:C$109)</f>
        <v>30</v>
      </c>
      <c r="B118" s="31" t="str">
        <f>CONCATENATE(C$7,".",C117," = ")</f>
        <v xml:space="preserve"> _distribuicao. = </v>
      </c>
      <c r="C118" s="23" t="str">
        <f t="shared" ref="C118" si="187">SUBSTITUTE(E118,"???",CONCATENATE(F118,G118,H118))</f>
        <v>0</v>
      </c>
      <c r="D118" s="23" t="s">
        <v>73</v>
      </c>
      <c r="E118" s="26">
        <f>LOOKUP(PESQUISAR!A118,AJUSTE!B:B,AJUSTE!F:F)</f>
        <v>0</v>
      </c>
      <c r="F118" s="30" t="s">
        <v>99</v>
      </c>
      <c r="G118" s="26" t="str">
        <f t="shared" ref="G118" si="188">C117</f>
        <v/>
      </c>
      <c r="H118" s="32" t="s">
        <v>100</v>
      </c>
      <c r="K118" s="38">
        <f t="shared" si="93"/>
        <v>0</v>
      </c>
      <c r="L118" s="9" t="str">
        <f t="shared" ref="L118" si="189">IF(H117,CONCATENATE("                            ",B118,C118,D118),"")</f>
        <v/>
      </c>
    </row>
    <row r="119" spans="1:12" hidden="1">
      <c r="A119" s="24">
        <v>48</v>
      </c>
      <c r="B119" s="21" t="s">
        <v>94</v>
      </c>
      <c r="C119" s="25" t="str">
        <f>LOOKUP(A119,INICIO!A$10:A$109,INICIO!K$10:K$109)</f>
        <v/>
      </c>
      <c r="D119" s="22" t="s">
        <v>95</v>
      </c>
      <c r="E119" s="22"/>
      <c r="F119" s="22"/>
      <c r="G119" s="22"/>
      <c r="H119" s="34">
        <f>LOOKUP(A119,INICIO!A$10:A$109,INICIO!J$10:J$109)</f>
        <v>0</v>
      </c>
      <c r="K119" s="38">
        <f t="shared" si="93"/>
        <v>0</v>
      </c>
      <c r="L119" s="9" t="str">
        <f t="shared" ref="L119" si="190">IF(H119,CONCATENATE("                        ",B119,C119,D119),"")</f>
        <v/>
      </c>
    </row>
    <row r="120" spans="1:12" hidden="1">
      <c r="A120" s="28">
        <f>LOOKUP(A119,INICIO!A$10:A$109,INICIO!C$10:C$109)</f>
        <v>30</v>
      </c>
      <c r="B120" s="31" t="str">
        <f>CONCATENATE(C$7,".",C119," = ")</f>
        <v xml:space="preserve"> _distribuicao. = </v>
      </c>
      <c r="C120" s="23" t="str">
        <f t="shared" ref="C120" si="191">SUBSTITUTE(E120,"???",CONCATENATE(F120,G120,H120))</f>
        <v>0</v>
      </c>
      <c r="D120" s="23" t="s">
        <v>73</v>
      </c>
      <c r="E120" s="26">
        <f>LOOKUP(PESQUISAR!A120,AJUSTE!B:B,AJUSTE!F:F)</f>
        <v>0</v>
      </c>
      <c r="F120" s="30" t="s">
        <v>99</v>
      </c>
      <c r="G120" s="26" t="str">
        <f t="shared" ref="G120" si="192">C119</f>
        <v/>
      </c>
      <c r="H120" s="32" t="s">
        <v>100</v>
      </c>
      <c r="K120" s="38">
        <f t="shared" si="93"/>
        <v>0</v>
      </c>
      <c r="L120" s="9" t="str">
        <f t="shared" ref="L120" si="193">IF(H119,CONCATENATE("                            ",B120,C120,D120),"")</f>
        <v/>
      </c>
    </row>
    <row r="121" spans="1:12" hidden="1">
      <c r="A121" s="24">
        <v>49</v>
      </c>
      <c r="B121" s="21" t="s">
        <v>94</v>
      </c>
      <c r="C121" s="25" t="str">
        <f>LOOKUP(A121,INICIO!A$10:A$109,INICIO!K$10:K$109)</f>
        <v/>
      </c>
      <c r="D121" s="22" t="s">
        <v>95</v>
      </c>
      <c r="E121" s="22"/>
      <c r="F121" s="22"/>
      <c r="G121" s="22"/>
      <c r="H121" s="34">
        <f>LOOKUP(A121,INICIO!A$10:A$109,INICIO!J$10:J$109)</f>
        <v>0</v>
      </c>
      <c r="K121" s="38">
        <f t="shared" si="93"/>
        <v>0</v>
      </c>
      <c r="L121" s="9" t="str">
        <f t="shared" ref="L121" si="194">IF(H121,CONCATENATE("                        ",B121,C121,D121),"")</f>
        <v/>
      </c>
    </row>
    <row r="122" spans="1:12" hidden="1">
      <c r="A122" s="28">
        <f>LOOKUP(A121,INICIO!A$10:A$109,INICIO!C$10:C$109)</f>
        <v>30</v>
      </c>
      <c r="B122" s="31" t="str">
        <f>CONCATENATE(C$7,".",C121," = ")</f>
        <v xml:space="preserve"> _distribuicao. = </v>
      </c>
      <c r="C122" s="23" t="str">
        <f t="shared" ref="C122" si="195">SUBSTITUTE(E122,"???",CONCATENATE(F122,G122,H122))</f>
        <v>0</v>
      </c>
      <c r="D122" s="23" t="s">
        <v>73</v>
      </c>
      <c r="E122" s="26">
        <f>LOOKUP(PESQUISAR!A122,AJUSTE!B:B,AJUSTE!F:F)</f>
        <v>0</v>
      </c>
      <c r="F122" s="30" t="s">
        <v>99</v>
      </c>
      <c r="G122" s="26" t="str">
        <f t="shared" ref="G122" si="196">C121</f>
        <v/>
      </c>
      <c r="H122" s="32" t="s">
        <v>100</v>
      </c>
      <c r="K122" s="38">
        <f t="shared" si="93"/>
        <v>0</v>
      </c>
      <c r="L122" s="9" t="str">
        <f t="shared" ref="L122" si="197">IF(H121,CONCATENATE("                            ",B122,C122,D122),"")</f>
        <v/>
      </c>
    </row>
    <row r="123" spans="1:12" hidden="1">
      <c r="A123" s="24">
        <v>50</v>
      </c>
      <c r="B123" s="21" t="s">
        <v>94</v>
      </c>
      <c r="C123" s="25" t="str">
        <f>LOOKUP(A123,INICIO!A$10:A$109,INICIO!K$10:K$109)</f>
        <v/>
      </c>
      <c r="D123" s="22" t="s">
        <v>95</v>
      </c>
      <c r="E123" s="22"/>
      <c r="F123" s="22"/>
      <c r="G123" s="22"/>
      <c r="H123" s="34">
        <f>LOOKUP(A123,INICIO!A$10:A$109,INICIO!J$10:J$109)</f>
        <v>0</v>
      </c>
      <c r="K123" s="38">
        <f t="shared" si="93"/>
        <v>0</v>
      </c>
      <c r="L123" s="9" t="str">
        <f t="shared" ref="L123" si="198">IF(H123,CONCATENATE("                        ",B123,C123,D123),"")</f>
        <v/>
      </c>
    </row>
    <row r="124" spans="1:12" hidden="1">
      <c r="A124" s="28">
        <f>LOOKUP(A123,INICIO!A$10:A$109,INICIO!C$10:C$109)</f>
        <v>30</v>
      </c>
      <c r="B124" s="31" t="str">
        <f>CONCATENATE(C$7,".",C123," = ")</f>
        <v xml:space="preserve"> _distribuicao. = </v>
      </c>
      <c r="C124" s="23" t="str">
        <f t="shared" ref="C124" si="199">SUBSTITUTE(E124,"???",CONCATENATE(F124,G124,H124))</f>
        <v>0</v>
      </c>
      <c r="D124" s="23" t="s">
        <v>73</v>
      </c>
      <c r="E124" s="26">
        <f>LOOKUP(PESQUISAR!A124,AJUSTE!B:B,AJUSTE!F:F)</f>
        <v>0</v>
      </c>
      <c r="F124" s="30" t="s">
        <v>99</v>
      </c>
      <c r="G124" s="26" t="str">
        <f t="shared" ref="G124" si="200">C123</f>
        <v/>
      </c>
      <c r="H124" s="32" t="s">
        <v>100</v>
      </c>
      <c r="K124" s="38">
        <f t="shared" si="93"/>
        <v>0</v>
      </c>
      <c r="L124" s="9" t="str">
        <f t="shared" ref="L124" si="201">IF(H123,CONCATENATE("                            ",B124,C124,D124),"")</f>
        <v/>
      </c>
    </row>
    <row r="125" spans="1:12" hidden="1">
      <c r="A125" s="24">
        <v>51</v>
      </c>
      <c r="B125" s="21" t="s">
        <v>94</v>
      </c>
      <c r="C125" s="25" t="str">
        <f>LOOKUP(A125,INICIO!A$10:A$109,INICIO!K$10:K$109)</f>
        <v/>
      </c>
      <c r="D125" s="22" t="s">
        <v>95</v>
      </c>
      <c r="E125" s="22"/>
      <c r="F125" s="22"/>
      <c r="G125" s="22"/>
      <c r="H125" s="34">
        <f>LOOKUP(A125,INICIO!A$10:A$109,INICIO!J$10:J$109)</f>
        <v>0</v>
      </c>
      <c r="K125" s="38">
        <f t="shared" si="93"/>
        <v>0</v>
      </c>
      <c r="L125" s="9" t="str">
        <f t="shared" ref="L125" si="202">IF(H125,CONCATENATE("                        ",B125,C125,D125),"")</f>
        <v/>
      </c>
    </row>
    <row r="126" spans="1:12" hidden="1">
      <c r="A126" s="28">
        <f>LOOKUP(A125,INICIO!A$10:A$109,INICIO!C$10:C$109)</f>
        <v>30</v>
      </c>
      <c r="B126" s="31" t="str">
        <f>CONCATENATE(C$7,".",C125," = ")</f>
        <v xml:space="preserve"> _distribuicao. = </v>
      </c>
      <c r="C126" s="23" t="str">
        <f t="shared" ref="C126" si="203">SUBSTITUTE(E126,"???",CONCATENATE(F126,G126,H126))</f>
        <v>0</v>
      </c>
      <c r="D126" s="23" t="s">
        <v>73</v>
      </c>
      <c r="E126" s="26">
        <f>LOOKUP(PESQUISAR!A126,AJUSTE!B:B,AJUSTE!F:F)</f>
        <v>0</v>
      </c>
      <c r="F126" s="30" t="s">
        <v>99</v>
      </c>
      <c r="G126" s="26" t="str">
        <f t="shared" ref="G126" si="204">C125</f>
        <v/>
      </c>
      <c r="H126" s="32" t="s">
        <v>100</v>
      </c>
      <c r="K126" s="38">
        <f t="shared" si="93"/>
        <v>0</v>
      </c>
      <c r="L126" s="9" t="str">
        <f t="shared" ref="L126" si="205">IF(H125,CONCATENATE("                            ",B126,C126,D126),"")</f>
        <v/>
      </c>
    </row>
    <row r="127" spans="1:12" hidden="1">
      <c r="A127" s="24">
        <v>52</v>
      </c>
      <c r="B127" s="21" t="s">
        <v>94</v>
      </c>
      <c r="C127" s="25" t="str">
        <f>LOOKUP(A127,INICIO!A$10:A$109,INICIO!K$10:K$109)</f>
        <v/>
      </c>
      <c r="D127" s="22" t="s">
        <v>95</v>
      </c>
      <c r="E127" s="22"/>
      <c r="F127" s="22"/>
      <c r="G127" s="22"/>
      <c r="H127" s="34">
        <f>LOOKUP(A127,INICIO!A$10:A$109,INICIO!J$10:J$109)</f>
        <v>0</v>
      </c>
      <c r="K127" s="38">
        <f t="shared" si="93"/>
        <v>0</v>
      </c>
      <c r="L127" s="9" t="str">
        <f t="shared" ref="L127" si="206">IF(H127,CONCATENATE("                        ",B127,C127,D127),"")</f>
        <v/>
      </c>
    </row>
    <row r="128" spans="1:12" hidden="1">
      <c r="A128" s="28">
        <f>LOOKUP(A127,INICIO!A$10:A$109,INICIO!C$10:C$109)</f>
        <v>30</v>
      </c>
      <c r="B128" s="31" t="str">
        <f>CONCATENATE(C$7,".",C127," = ")</f>
        <v xml:space="preserve"> _distribuicao. = </v>
      </c>
      <c r="C128" s="23" t="str">
        <f t="shared" ref="C128" si="207">SUBSTITUTE(E128,"???",CONCATENATE(F128,G128,H128))</f>
        <v>0</v>
      </c>
      <c r="D128" s="23" t="s">
        <v>73</v>
      </c>
      <c r="E128" s="26">
        <f>LOOKUP(PESQUISAR!A128,AJUSTE!B:B,AJUSTE!F:F)</f>
        <v>0</v>
      </c>
      <c r="F128" s="30" t="s">
        <v>99</v>
      </c>
      <c r="G128" s="26" t="str">
        <f t="shared" ref="G128" si="208">C127</f>
        <v/>
      </c>
      <c r="H128" s="32" t="s">
        <v>100</v>
      </c>
      <c r="K128" s="38">
        <f t="shared" si="93"/>
        <v>0</v>
      </c>
      <c r="L128" s="9" t="str">
        <f t="shared" ref="L128" si="209">IF(H127,CONCATENATE("                            ",B128,C128,D128),"")</f>
        <v/>
      </c>
    </row>
    <row r="129" spans="1:12" hidden="1">
      <c r="A129" s="24">
        <v>53</v>
      </c>
      <c r="B129" s="21" t="s">
        <v>94</v>
      </c>
      <c r="C129" s="25" t="str">
        <f>LOOKUP(A129,INICIO!A$10:A$109,INICIO!K$10:K$109)</f>
        <v/>
      </c>
      <c r="D129" s="22" t="s">
        <v>95</v>
      </c>
      <c r="E129" s="22"/>
      <c r="F129" s="22"/>
      <c r="G129" s="22"/>
      <c r="H129" s="34">
        <f>LOOKUP(A129,INICIO!A$10:A$109,INICIO!J$10:J$109)</f>
        <v>0</v>
      </c>
      <c r="K129" s="38">
        <f t="shared" si="93"/>
        <v>0</v>
      </c>
      <c r="L129" s="9" t="str">
        <f t="shared" ref="L129" si="210">IF(H129,CONCATENATE("                        ",B129,C129,D129),"")</f>
        <v/>
      </c>
    </row>
    <row r="130" spans="1:12" hidden="1">
      <c r="A130" s="28">
        <f>LOOKUP(A129,INICIO!A$10:A$109,INICIO!C$10:C$109)</f>
        <v>30</v>
      </c>
      <c r="B130" s="31" t="str">
        <f>CONCATENATE(C$7,".",C129," = ")</f>
        <v xml:space="preserve"> _distribuicao. = </v>
      </c>
      <c r="C130" s="23" t="str">
        <f t="shared" ref="C130" si="211">SUBSTITUTE(E130,"???",CONCATENATE(F130,G130,H130))</f>
        <v>0</v>
      </c>
      <c r="D130" s="23" t="s">
        <v>73</v>
      </c>
      <c r="E130" s="26">
        <f>LOOKUP(PESQUISAR!A130,AJUSTE!B:B,AJUSTE!F:F)</f>
        <v>0</v>
      </c>
      <c r="F130" s="30" t="s">
        <v>99</v>
      </c>
      <c r="G130" s="26" t="str">
        <f t="shared" ref="G130" si="212">C129</f>
        <v/>
      </c>
      <c r="H130" s="32" t="s">
        <v>100</v>
      </c>
      <c r="K130" s="38">
        <f t="shared" si="93"/>
        <v>0</v>
      </c>
      <c r="L130" s="9" t="str">
        <f t="shared" ref="L130" si="213">IF(H129,CONCATENATE("                            ",B130,C130,D130),"")</f>
        <v/>
      </c>
    </row>
    <row r="131" spans="1:12" hidden="1">
      <c r="A131" s="24">
        <v>54</v>
      </c>
      <c r="B131" s="21" t="s">
        <v>94</v>
      </c>
      <c r="C131" s="25" t="str">
        <f>LOOKUP(A131,INICIO!A$10:A$109,INICIO!K$10:K$109)</f>
        <v/>
      </c>
      <c r="D131" s="22" t="s">
        <v>95</v>
      </c>
      <c r="E131" s="22"/>
      <c r="F131" s="22"/>
      <c r="G131" s="22"/>
      <c r="H131" s="34">
        <f>LOOKUP(A131,INICIO!A$10:A$109,INICIO!J$10:J$109)</f>
        <v>0</v>
      </c>
      <c r="K131" s="38">
        <f t="shared" si="93"/>
        <v>0</v>
      </c>
      <c r="L131" s="9" t="str">
        <f t="shared" ref="L131" si="214">IF(H131,CONCATENATE("                        ",B131,C131,D131),"")</f>
        <v/>
      </c>
    </row>
    <row r="132" spans="1:12" hidden="1">
      <c r="A132" s="28">
        <f>LOOKUP(A131,INICIO!A$10:A$109,INICIO!C$10:C$109)</f>
        <v>30</v>
      </c>
      <c r="B132" s="31" t="str">
        <f>CONCATENATE(C$7,".",C131," = ")</f>
        <v xml:space="preserve"> _distribuicao. = </v>
      </c>
      <c r="C132" s="23" t="str">
        <f t="shared" ref="C132" si="215">SUBSTITUTE(E132,"???",CONCATENATE(F132,G132,H132))</f>
        <v>0</v>
      </c>
      <c r="D132" s="23" t="s">
        <v>73</v>
      </c>
      <c r="E132" s="26">
        <f>LOOKUP(PESQUISAR!A132,AJUSTE!B:B,AJUSTE!F:F)</f>
        <v>0</v>
      </c>
      <c r="F132" s="30" t="s">
        <v>99</v>
      </c>
      <c r="G132" s="26" t="str">
        <f t="shared" ref="G132" si="216">C131</f>
        <v/>
      </c>
      <c r="H132" s="32" t="s">
        <v>100</v>
      </c>
      <c r="K132" s="38">
        <f t="shared" si="93"/>
        <v>0</v>
      </c>
      <c r="L132" s="9" t="str">
        <f t="shared" ref="L132" si="217">IF(H131,CONCATENATE("                            ",B132,C132,D132),"")</f>
        <v/>
      </c>
    </row>
    <row r="133" spans="1:12" hidden="1">
      <c r="A133" s="24">
        <v>55</v>
      </c>
      <c r="B133" s="21" t="s">
        <v>94</v>
      </c>
      <c r="C133" s="25" t="str">
        <f>LOOKUP(A133,INICIO!A$10:A$109,INICIO!K$10:K$109)</f>
        <v/>
      </c>
      <c r="D133" s="22" t="s">
        <v>95</v>
      </c>
      <c r="E133" s="22"/>
      <c r="F133" s="22"/>
      <c r="G133" s="22"/>
      <c r="H133" s="34">
        <f>LOOKUP(A133,INICIO!A$10:A$109,INICIO!J$10:J$109)</f>
        <v>0</v>
      </c>
      <c r="K133" s="38">
        <f t="shared" si="93"/>
        <v>0</v>
      </c>
      <c r="L133" s="9" t="str">
        <f t="shared" ref="L133" si="218">IF(H133,CONCATENATE("                        ",B133,C133,D133),"")</f>
        <v/>
      </c>
    </row>
    <row r="134" spans="1:12" hidden="1">
      <c r="A134" s="28">
        <f>LOOKUP(A133,INICIO!A$10:A$109,INICIO!C$10:C$109)</f>
        <v>30</v>
      </c>
      <c r="B134" s="31" t="str">
        <f>CONCATENATE(C$7,".",C133," = ")</f>
        <v xml:space="preserve"> _distribuicao. = </v>
      </c>
      <c r="C134" s="23" t="str">
        <f t="shared" ref="C134" si="219">SUBSTITUTE(E134,"???",CONCATENATE(F134,G134,H134))</f>
        <v>0</v>
      </c>
      <c r="D134" s="23" t="s">
        <v>73</v>
      </c>
      <c r="E134" s="26">
        <f>LOOKUP(PESQUISAR!A134,AJUSTE!B:B,AJUSTE!F:F)</f>
        <v>0</v>
      </c>
      <c r="F134" s="30" t="s">
        <v>99</v>
      </c>
      <c r="G134" s="26" t="str">
        <f t="shared" ref="G134" si="220">C133</f>
        <v/>
      </c>
      <c r="H134" s="32" t="s">
        <v>100</v>
      </c>
      <c r="K134" s="38">
        <f t="shared" si="93"/>
        <v>0</v>
      </c>
      <c r="L134" s="9" t="str">
        <f t="shared" ref="L134" si="221">IF(H133,CONCATENATE("                            ",B134,C134,D134),"")</f>
        <v/>
      </c>
    </row>
    <row r="135" spans="1:12" hidden="1">
      <c r="A135" s="24">
        <v>56</v>
      </c>
      <c r="B135" s="21" t="s">
        <v>94</v>
      </c>
      <c r="C135" s="25" t="str">
        <f>LOOKUP(A135,INICIO!A$10:A$109,INICIO!K$10:K$109)</f>
        <v/>
      </c>
      <c r="D135" s="22" t="s">
        <v>95</v>
      </c>
      <c r="E135" s="22"/>
      <c r="F135" s="22"/>
      <c r="G135" s="22"/>
      <c r="H135" s="34">
        <f>LOOKUP(A135,INICIO!A$10:A$109,INICIO!J$10:J$109)</f>
        <v>0</v>
      </c>
      <c r="K135" s="38">
        <f t="shared" ref="K135:K198" si="222">IF(L135&lt;&gt;"",1,0)</f>
        <v>0</v>
      </c>
      <c r="L135" s="9" t="str">
        <f t="shared" ref="L135" si="223">IF(H135,CONCATENATE("                        ",B135,C135,D135),"")</f>
        <v/>
      </c>
    </row>
    <row r="136" spans="1:12" hidden="1">
      <c r="A136" s="28">
        <f>LOOKUP(A135,INICIO!A$10:A$109,INICIO!C$10:C$109)</f>
        <v>30</v>
      </c>
      <c r="B136" s="31" t="str">
        <f>CONCATENATE(C$7,".",C135," = ")</f>
        <v xml:space="preserve"> _distribuicao. = </v>
      </c>
      <c r="C136" s="23" t="str">
        <f t="shared" ref="C136" si="224">SUBSTITUTE(E136,"???",CONCATENATE(F136,G136,H136))</f>
        <v>0</v>
      </c>
      <c r="D136" s="23" t="s">
        <v>73</v>
      </c>
      <c r="E136" s="26">
        <f>LOOKUP(PESQUISAR!A136,AJUSTE!B:B,AJUSTE!F:F)</f>
        <v>0</v>
      </c>
      <c r="F136" s="30" t="s">
        <v>99</v>
      </c>
      <c r="G136" s="26" t="str">
        <f t="shared" ref="G136" si="225">C135</f>
        <v/>
      </c>
      <c r="H136" s="32" t="s">
        <v>100</v>
      </c>
      <c r="K136" s="38">
        <f t="shared" si="222"/>
        <v>0</v>
      </c>
      <c r="L136" s="9" t="str">
        <f t="shared" ref="L136" si="226">IF(H135,CONCATENATE("                            ",B136,C136,D136),"")</f>
        <v/>
      </c>
    </row>
    <row r="137" spans="1:12" hidden="1">
      <c r="A137" s="24">
        <v>57</v>
      </c>
      <c r="B137" s="21" t="s">
        <v>94</v>
      </c>
      <c r="C137" s="25" t="str">
        <f>LOOKUP(A137,INICIO!A$10:A$109,INICIO!K$10:K$109)</f>
        <v/>
      </c>
      <c r="D137" s="22" t="s">
        <v>95</v>
      </c>
      <c r="E137" s="22"/>
      <c r="F137" s="22"/>
      <c r="G137" s="22"/>
      <c r="H137" s="34">
        <f>LOOKUP(A137,INICIO!A$10:A$109,INICIO!J$10:J$109)</f>
        <v>0</v>
      </c>
      <c r="K137" s="38">
        <f t="shared" si="222"/>
        <v>0</v>
      </c>
      <c r="L137" s="9" t="str">
        <f t="shared" ref="L137" si="227">IF(H137,CONCATENATE("                        ",B137,C137,D137),"")</f>
        <v/>
      </c>
    </row>
    <row r="138" spans="1:12" hidden="1">
      <c r="A138" s="28">
        <f>LOOKUP(A137,INICIO!A$10:A$109,INICIO!C$10:C$109)</f>
        <v>30</v>
      </c>
      <c r="B138" s="31" t="str">
        <f>CONCATENATE(C$7,".",C137," = ")</f>
        <v xml:space="preserve"> _distribuicao. = </v>
      </c>
      <c r="C138" s="23" t="str">
        <f t="shared" ref="C138" si="228">SUBSTITUTE(E138,"???",CONCATENATE(F138,G138,H138))</f>
        <v>0</v>
      </c>
      <c r="D138" s="23" t="s">
        <v>73</v>
      </c>
      <c r="E138" s="26">
        <f>LOOKUP(PESQUISAR!A138,AJUSTE!B:B,AJUSTE!F:F)</f>
        <v>0</v>
      </c>
      <c r="F138" s="30" t="s">
        <v>99</v>
      </c>
      <c r="G138" s="26" t="str">
        <f t="shared" ref="G138" si="229">C137</f>
        <v/>
      </c>
      <c r="H138" s="32" t="s">
        <v>100</v>
      </c>
      <c r="K138" s="38">
        <f t="shared" si="222"/>
        <v>0</v>
      </c>
      <c r="L138" s="9" t="str">
        <f t="shared" ref="L138" si="230">IF(H137,CONCATENATE("                            ",B138,C138,D138),"")</f>
        <v/>
      </c>
    </row>
    <row r="139" spans="1:12" hidden="1">
      <c r="A139" s="24">
        <v>58</v>
      </c>
      <c r="B139" s="21" t="s">
        <v>94</v>
      </c>
      <c r="C139" s="25" t="str">
        <f>LOOKUP(A139,INICIO!A$10:A$109,INICIO!K$10:K$109)</f>
        <v/>
      </c>
      <c r="D139" s="22" t="s">
        <v>95</v>
      </c>
      <c r="E139" s="22"/>
      <c r="F139" s="22"/>
      <c r="G139" s="22"/>
      <c r="H139" s="34">
        <f>LOOKUP(A139,INICIO!A$10:A$109,INICIO!J$10:J$109)</f>
        <v>0</v>
      </c>
      <c r="K139" s="38">
        <f t="shared" si="222"/>
        <v>0</v>
      </c>
      <c r="L139" s="9" t="str">
        <f t="shared" ref="L139" si="231">IF(H139,CONCATENATE("                        ",B139,C139,D139),"")</f>
        <v/>
      </c>
    </row>
    <row r="140" spans="1:12" hidden="1">
      <c r="A140" s="28">
        <f>LOOKUP(A139,INICIO!A$10:A$109,INICIO!C$10:C$109)</f>
        <v>30</v>
      </c>
      <c r="B140" s="31" t="str">
        <f>CONCATENATE(C$7,".",C139," = ")</f>
        <v xml:space="preserve"> _distribuicao. = </v>
      </c>
      <c r="C140" s="23" t="str">
        <f t="shared" ref="C140" si="232">SUBSTITUTE(E140,"???",CONCATENATE(F140,G140,H140))</f>
        <v>0</v>
      </c>
      <c r="D140" s="23" t="s">
        <v>73</v>
      </c>
      <c r="E140" s="26">
        <f>LOOKUP(PESQUISAR!A140,AJUSTE!B:B,AJUSTE!F:F)</f>
        <v>0</v>
      </c>
      <c r="F140" s="30" t="s">
        <v>99</v>
      </c>
      <c r="G140" s="26" t="str">
        <f t="shared" ref="G140" si="233">C139</f>
        <v/>
      </c>
      <c r="H140" s="32" t="s">
        <v>100</v>
      </c>
      <c r="K140" s="38">
        <f t="shared" si="222"/>
        <v>0</v>
      </c>
      <c r="L140" s="9" t="str">
        <f t="shared" ref="L140" si="234">IF(H139,CONCATENATE("                            ",B140,C140,D140),"")</f>
        <v/>
      </c>
    </row>
    <row r="141" spans="1:12" hidden="1">
      <c r="A141" s="24">
        <v>59</v>
      </c>
      <c r="B141" s="21" t="s">
        <v>94</v>
      </c>
      <c r="C141" s="25" t="str">
        <f>LOOKUP(A141,INICIO!A$10:A$109,INICIO!K$10:K$109)</f>
        <v/>
      </c>
      <c r="D141" s="22" t="s">
        <v>95</v>
      </c>
      <c r="E141" s="22"/>
      <c r="F141" s="22"/>
      <c r="G141" s="22"/>
      <c r="H141" s="34">
        <f>LOOKUP(A141,INICIO!A$10:A$109,INICIO!J$10:J$109)</f>
        <v>0</v>
      </c>
      <c r="K141" s="38">
        <f t="shared" si="222"/>
        <v>0</v>
      </c>
      <c r="L141" s="9" t="str">
        <f t="shared" ref="L141" si="235">IF(H141,CONCATENATE("                        ",B141,C141,D141),"")</f>
        <v/>
      </c>
    </row>
    <row r="142" spans="1:12" hidden="1">
      <c r="A142" s="28">
        <f>LOOKUP(A141,INICIO!A$10:A$109,INICIO!C$10:C$109)</f>
        <v>30</v>
      </c>
      <c r="B142" s="31" t="str">
        <f>CONCATENATE(C$7,".",C141," = ")</f>
        <v xml:space="preserve"> _distribuicao. = </v>
      </c>
      <c r="C142" s="23" t="str">
        <f t="shared" ref="C142" si="236">SUBSTITUTE(E142,"???",CONCATENATE(F142,G142,H142))</f>
        <v>0</v>
      </c>
      <c r="D142" s="23" t="s">
        <v>73</v>
      </c>
      <c r="E142" s="26">
        <f>LOOKUP(PESQUISAR!A142,AJUSTE!B:B,AJUSTE!F:F)</f>
        <v>0</v>
      </c>
      <c r="F142" s="30" t="s">
        <v>99</v>
      </c>
      <c r="G142" s="26" t="str">
        <f t="shared" ref="G142" si="237">C141</f>
        <v/>
      </c>
      <c r="H142" s="32" t="s">
        <v>100</v>
      </c>
      <c r="K142" s="38">
        <f t="shared" si="222"/>
        <v>0</v>
      </c>
      <c r="L142" s="9" t="str">
        <f t="shared" ref="L142" si="238">IF(H141,CONCATENATE("                            ",B142,C142,D142),"")</f>
        <v/>
      </c>
    </row>
    <row r="143" spans="1:12" hidden="1">
      <c r="A143" s="24">
        <v>60</v>
      </c>
      <c r="B143" s="21" t="s">
        <v>94</v>
      </c>
      <c r="C143" s="25" t="str">
        <f>LOOKUP(A143,INICIO!A$10:A$109,INICIO!K$10:K$109)</f>
        <v/>
      </c>
      <c r="D143" s="22" t="s">
        <v>95</v>
      </c>
      <c r="E143" s="22"/>
      <c r="F143" s="22"/>
      <c r="G143" s="22"/>
      <c r="H143" s="34">
        <f>LOOKUP(A143,INICIO!A$10:A$109,INICIO!J$10:J$109)</f>
        <v>0</v>
      </c>
      <c r="K143" s="38">
        <f t="shared" si="222"/>
        <v>0</v>
      </c>
      <c r="L143" s="9" t="str">
        <f t="shared" ref="L143" si="239">IF(H143,CONCATENATE("                        ",B143,C143,D143),"")</f>
        <v/>
      </c>
    </row>
    <row r="144" spans="1:12" hidden="1">
      <c r="A144" s="28">
        <f>LOOKUP(A143,INICIO!A$10:A$109,INICIO!C$10:C$109)</f>
        <v>30</v>
      </c>
      <c r="B144" s="31" t="str">
        <f>CONCATENATE(C$7,".",C143," = ")</f>
        <v xml:space="preserve"> _distribuicao. = </v>
      </c>
      <c r="C144" s="23" t="str">
        <f t="shared" ref="C144" si="240">SUBSTITUTE(E144,"???",CONCATENATE(F144,G144,H144))</f>
        <v>0</v>
      </c>
      <c r="D144" s="23" t="s">
        <v>73</v>
      </c>
      <c r="E144" s="26">
        <f>LOOKUP(PESQUISAR!A144,AJUSTE!B:B,AJUSTE!F:F)</f>
        <v>0</v>
      </c>
      <c r="F144" s="30" t="s">
        <v>99</v>
      </c>
      <c r="G144" s="26" t="str">
        <f t="shared" ref="G144" si="241">C143</f>
        <v/>
      </c>
      <c r="H144" s="32" t="s">
        <v>100</v>
      </c>
      <c r="K144" s="38">
        <f t="shared" si="222"/>
        <v>0</v>
      </c>
      <c r="L144" s="9" t="str">
        <f t="shared" ref="L144" si="242">IF(H143,CONCATENATE("                            ",B144,C144,D144),"")</f>
        <v/>
      </c>
    </row>
    <row r="145" spans="1:12" hidden="1">
      <c r="A145" s="24">
        <v>61</v>
      </c>
      <c r="B145" s="21" t="s">
        <v>94</v>
      </c>
      <c r="C145" s="25" t="str">
        <f>LOOKUP(A145,INICIO!A$10:A$109,INICIO!K$10:K$109)</f>
        <v/>
      </c>
      <c r="D145" s="22" t="s">
        <v>95</v>
      </c>
      <c r="E145" s="22"/>
      <c r="F145" s="22"/>
      <c r="G145" s="22"/>
      <c r="H145" s="34">
        <f>LOOKUP(A145,INICIO!A$10:A$109,INICIO!J$10:J$109)</f>
        <v>0</v>
      </c>
      <c r="K145" s="38">
        <f t="shared" si="222"/>
        <v>0</v>
      </c>
      <c r="L145" s="9" t="str">
        <f t="shared" ref="L145" si="243">IF(H145,CONCATENATE("                        ",B145,C145,D145),"")</f>
        <v/>
      </c>
    </row>
    <row r="146" spans="1:12" hidden="1">
      <c r="A146" s="28">
        <f>LOOKUP(A145,INICIO!A$10:A$109,INICIO!C$10:C$109)</f>
        <v>30</v>
      </c>
      <c r="B146" s="31" t="str">
        <f>CONCATENATE(C$7,".",C145," = ")</f>
        <v xml:space="preserve"> _distribuicao. = </v>
      </c>
      <c r="C146" s="23" t="str">
        <f t="shared" ref="C146" si="244">SUBSTITUTE(E146,"???",CONCATENATE(F146,G146,H146))</f>
        <v>0</v>
      </c>
      <c r="D146" s="23" t="s">
        <v>73</v>
      </c>
      <c r="E146" s="26">
        <f>LOOKUP(PESQUISAR!A146,AJUSTE!B:B,AJUSTE!F:F)</f>
        <v>0</v>
      </c>
      <c r="F146" s="30" t="s">
        <v>99</v>
      </c>
      <c r="G146" s="26" t="str">
        <f t="shared" ref="G146" si="245">C145</f>
        <v/>
      </c>
      <c r="H146" s="32" t="s">
        <v>100</v>
      </c>
      <c r="K146" s="38">
        <f t="shared" si="222"/>
        <v>0</v>
      </c>
      <c r="L146" s="9" t="str">
        <f t="shared" ref="L146" si="246">IF(H145,CONCATENATE("                            ",B146,C146,D146),"")</f>
        <v/>
      </c>
    </row>
    <row r="147" spans="1:12" hidden="1">
      <c r="A147" s="24">
        <v>62</v>
      </c>
      <c r="B147" s="21" t="s">
        <v>94</v>
      </c>
      <c r="C147" s="25" t="str">
        <f>LOOKUP(A147,INICIO!A$10:A$109,INICIO!K$10:K$109)</f>
        <v/>
      </c>
      <c r="D147" s="22" t="s">
        <v>95</v>
      </c>
      <c r="E147" s="22"/>
      <c r="F147" s="22"/>
      <c r="G147" s="22"/>
      <c r="H147" s="34">
        <f>LOOKUP(A147,INICIO!A$10:A$109,INICIO!J$10:J$109)</f>
        <v>0</v>
      </c>
      <c r="K147" s="38">
        <f t="shared" si="222"/>
        <v>0</v>
      </c>
      <c r="L147" s="9" t="str">
        <f t="shared" ref="L147" si="247">IF(H147,CONCATENATE("                        ",B147,C147,D147),"")</f>
        <v/>
      </c>
    </row>
    <row r="148" spans="1:12" hidden="1">
      <c r="A148" s="28">
        <f>LOOKUP(A147,INICIO!A$10:A$109,INICIO!C$10:C$109)</f>
        <v>30</v>
      </c>
      <c r="B148" s="31" t="str">
        <f>CONCATENATE(C$7,".",C147," = ")</f>
        <v xml:space="preserve"> _distribuicao. = </v>
      </c>
      <c r="C148" s="23" t="str">
        <f t="shared" ref="C148" si="248">SUBSTITUTE(E148,"???",CONCATENATE(F148,G148,H148))</f>
        <v>0</v>
      </c>
      <c r="D148" s="23" t="s">
        <v>73</v>
      </c>
      <c r="E148" s="26">
        <f>LOOKUP(PESQUISAR!A148,AJUSTE!B:B,AJUSTE!F:F)</f>
        <v>0</v>
      </c>
      <c r="F148" s="30" t="s">
        <v>99</v>
      </c>
      <c r="G148" s="26" t="str">
        <f t="shared" ref="G148" si="249">C147</f>
        <v/>
      </c>
      <c r="H148" s="32" t="s">
        <v>100</v>
      </c>
      <c r="K148" s="38">
        <f t="shared" si="222"/>
        <v>0</v>
      </c>
      <c r="L148" s="9" t="str">
        <f t="shared" ref="L148" si="250">IF(H147,CONCATENATE("                            ",B148,C148,D148),"")</f>
        <v/>
      </c>
    </row>
    <row r="149" spans="1:12" hidden="1">
      <c r="A149" s="24">
        <v>63</v>
      </c>
      <c r="B149" s="21" t="s">
        <v>94</v>
      </c>
      <c r="C149" s="25" t="str">
        <f>LOOKUP(A149,INICIO!A$10:A$109,INICIO!K$10:K$109)</f>
        <v/>
      </c>
      <c r="D149" s="22" t="s">
        <v>95</v>
      </c>
      <c r="E149" s="22"/>
      <c r="F149" s="22"/>
      <c r="G149" s="22"/>
      <c r="H149" s="34">
        <f>LOOKUP(A149,INICIO!A$10:A$109,INICIO!J$10:J$109)</f>
        <v>0</v>
      </c>
      <c r="K149" s="38">
        <f t="shared" si="222"/>
        <v>0</v>
      </c>
      <c r="L149" s="9" t="str">
        <f t="shared" ref="L149" si="251">IF(H149,CONCATENATE("                        ",B149,C149,D149),"")</f>
        <v/>
      </c>
    </row>
    <row r="150" spans="1:12" hidden="1">
      <c r="A150" s="28">
        <f>LOOKUP(A149,INICIO!A$10:A$109,INICIO!C$10:C$109)</f>
        <v>30</v>
      </c>
      <c r="B150" s="31" t="str">
        <f>CONCATENATE(C$7,".",C149," = ")</f>
        <v xml:space="preserve"> _distribuicao. = </v>
      </c>
      <c r="C150" s="23" t="str">
        <f t="shared" ref="C150" si="252">SUBSTITUTE(E150,"???",CONCATENATE(F150,G150,H150))</f>
        <v>0</v>
      </c>
      <c r="D150" s="23" t="s">
        <v>73</v>
      </c>
      <c r="E150" s="26">
        <f>LOOKUP(PESQUISAR!A150,AJUSTE!B:B,AJUSTE!F:F)</f>
        <v>0</v>
      </c>
      <c r="F150" s="30" t="s">
        <v>99</v>
      </c>
      <c r="G150" s="26" t="str">
        <f t="shared" ref="G150" si="253">C149</f>
        <v/>
      </c>
      <c r="H150" s="32" t="s">
        <v>100</v>
      </c>
      <c r="K150" s="38">
        <f t="shared" si="222"/>
        <v>0</v>
      </c>
      <c r="L150" s="9" t="str">
        <f t="shared" ref="L150" si="254">IF(H149,CONCATENATE("                            ",B150,C150,D150),"")</f>
        <v/>
      </c>
    </row>
    <row r="151" spans="1:12" hidden="1">
      <c r="A151" s="24">
        <v>64</v>
      </c>
      <c r="B151" s="21" t="s">
        <v>94</v>
      </c>
      <c r="C151" s="25" t="str">
        <f>LOOKUP(A151,INICIO!A$10:A$109,INICIO!K$10:K$109)</f>
        <v/>
      </c>
      <c r="D151" s="22" t="s">
        <v>95</v>
      </c>
      <c r="E151" s="22"/>
      <c r="F151" s="22"/>
      <c r="G151" s="22"/>
      <c r="H151" s="34">
        <f>LOOKUP(A151,INICIO!A$10:A$109,INICIO!J$10:J$109)</f>
        <v>0</v>
      </c>
      <c r="K151" s="38">
        <f t="shared" si="222"/>
        <v>0</v>
      </c>
      <c r="L151" s="9" t="str">
        <f t="shared" ref="L151" si="255">IF(H151,CONCATENATE("                        ",B151,C151,D151),"")</f>
        <v/>
      </c>
    </row>
    <row r="152" spans="1:12" hidden="1">
      <c r="A152" s="28">
        <f>LOOKUP(A151,INICIO!A$10:A$109,INICIO!C$10:C$109)</f>
        <v>30</v>
      </c>
      <c r="B152" s="31" t="str">
        <f>CONCATENATE(C$7,".",C151," = ")</f>
        <v xml:space="preserve"> _distribuicao. = </v>
      </c>
      <c r="C152" s="23" t="str">
        <f t="shared" ref="C152" si="256">SUBSTITUTE(E152,"???",CONCATENATE(F152,G152,H152))</f>
        <v>0</v>
      </c>
      <c r="D152" s="23" t="s">
        <v>73</v>
      </c>
      <c r="E152" s="26">
        <f>LOOKUP(PESQUISAR!A152,AJUSTE!B:B,AJUSTE!F:F)</f>
        <v>0</v>
      </c>
      <c r="F152" s="30" t="s">
        <v>99</v>
      </c>
      <c r="G152" s="26" t="str">
        <f t="shared" ref="G152" si="257">C151</f>
        <v/>
      </c>
      <c r="H152" s="32" t="s">
        <v>100</v>
      </c>
      <c r="K152" s="38">
        <f t="shared" si="222"/>
        <v>0</v>
      </c>
      <c r="L152" s="9" t="str">
        <f t="shared" ref="L152" si="258">IF(H151,CONCATENATE("                            ",B152,C152,D152),"")</f>
        <v/>
      </c>
    </row>
    <row r="153" spans="1:12" hidden="1">
      <c r="A153" s="24">
        <v>65</v>
      </c>
      <c r="B153" s="21" t="s">
        <v>94</v>
      </c>
      <c r="C153" s="25" t="str">
        <f>LOOKUP(A153,INICIO!A$10:A$109,INICIO!K$10:K$109)</f>
        <v/>
      </c>
      <c r="D153" s="22" t="s">
        <v>95</v>
      </c>
      <c r="E153" s="22"/>
      <c r="F153" s="22"/>
      <c r="G153" s="22"/>
      <c r="H153" s="34">
        <f>LOOKUP(A153,INICIO!A$10:A$109,INICIO!J$10:J$109)</f>
        <v>0</v>
      </c>
      <c r="K153" s="38">
        <f t="shared" si="222"/>
        <v>0</v>
      </c>
      <c r="L153" s="9" t="str">
        <f t="shared" ref="L153" si="259">IF(H153,CONCATENATE("                        ",B153,C153,D153),"")</f>
        <v/>
      </c>
    </row>
    <row r="154" spans="1:12" hidden="1">
      <c r="A154" s="28">
        <f>LOOKUP(A153,INICIO!A$10:A$109,INICIO!C$10:C$109)</f>
        <v>30</v>
      </c>
      <c r="B154" s="31" t="str">
        <f>CONCATENATE(C$7,".",C153," = ")</f>
        <v xml:space="preserve"> _distribuicao. = </v>
      </c>
      <c r="C154" s="23" t="str">
        <f t="shared" ref="C154" si="260">SUBSTITUTE(E154,"???",CONCATENATE(F154,G154,H154))</f>
        <v>0</v>
      </c>
      <c r="D154" s="23" t="s">
        <v>73</v>
      </c>
      <c r="E154" s="26">
        <f>LOOKUP(PESQUISAR!A154,AJUSTE!B:B,AJUSTE!F:F)</f>
        <v>0</v>
      </c>
      <c r="F154" s="30" t="s">
        <v>99</v>
      </c>
      <c r="G154" s="26" t="str">
        <f t="shared" ref="G154" si="261">C153</f>
        <v/>
      </c>
      <c r="H154" s="32" t="s">
        <v>100</v>
      </c>
      <c r="K154" s="38">
        <f t="shared" si="222"/>
        <v>0</v>
      </c>
      <c r="L154" s="9" t="str">
        <f t="shared" ref="L154" si="262">IF(H153,CONCATENATE("                            ",B154,C154,D154),"")</f>
        <v/>
      </c>
    </row>
    <row r="155" spans="1:12" hidden="1">
      <c r="A155" s="24">
        <v>66</v>
      </c>
      <c r="B155" s="21" t="s">
        <v>94</v>
      </c>
      <c r="C155" s="25" t="str">
        <f>LOOKUP(A155,INICIO!A$10:A$109,INICIO!K$10:K$109)</f>
        <v/>
      </c>
      <c r="D155" s="22" t="s">
        <v>95</v>
      </c>
      <c r="E155" s="22"/>
      <c r="F155" s="22"/>
      <c r="G155" s="22"/>
      <c r="H155" s="34">
        <f>LOOKUP(A155,INICIO!A$10:A$109,INICIO!J$10:J$109)</f>
        <v>0</v>
      </c>
      <c r="K155" s="38">
        <f t="shared" si="222"/>
        <v>0</v>
      </c>
      <c r="L155" s="9" t="str">
        <f t="shared" ref="L155" si="263">IF(H155,CONCATENATE("                        ",B155,C155,D155),"")</f>
        <v/>
      </c>
    </row>
    <row r="156" spans="1:12" hidden="1">
      <c r="A156" s="28">
        <f>LOOKUP(A155,INICIO!A$10:A$109,INICIO!C$10:C$109)</f>
        <v>30</v>
      </c>
      <c r="B156" s="31" t="str">
        <f>CONCATENATE(C$7,".",C155," = ")</f>
        <v xml:space="preserve"> _distribuicao. = </v>
      </c>
      <c r="C156" s="23" t="str">
        <f t="shared" ref="C156" si="264">SUBSTITUTE(E156,"???",CONCATENATE(F156,G156,H156))</f>
        <v>0</v>
      </c>
      <c r="D156" s="23" t="s">
        <v>73</v>
      </c>
      <c r="E156" s="26">
        <f>LOOKUP(PESQUISAR!A156,AJUSTE!B:B,AJUSTE!F:F)</f>
        <v>0</v>
      </c>
      <c r="F156" s="30" t="s">
        <v>99</v>
      </c>
      <c r="G156" s="26" t="str">
        <f t="shared" ref="G156" si="265">C155</f>
        <v/>
      </c>
      <c r="H156" s="32" t="s">
        <v>100</v>
      </c>
      <c r="K156" s="38">
        <f t="shared" si="222"/>
        <v>0</v>
      </c>
      <c r="L156" s="9" t="str">
        <f t="shared" ref="L156" si="266">IF(H155,CONCATENATE("                            ",B156,C156,D156),"")</f>
        <v/>
      </c>
    </row>
    <row r="157" spans="1:12" hidden="1">
      <c r="A157" s="24">
        <v>67</v>
      </c>
      <c r="B157" s="21" t="s">
        <v>94</v>
      </c>
      <c r="C157" s="25" t="str">
        <f>LOOKUP(A157,INICIO!A$10:A$109,INICIO!K$10:K$109)</f>
        <v/>
      </c>
      <c r="D157" s="22" t="s">
        <v>95</v>
      </c>
      <c r="E157" s="22"/>
      <c r="F157" s="22"/>
      <c r="G157" s="22"/>
      <c r="H157" s="34">
        <f>LOOKUP(A157,INICIO!A$10:A$109,INICIO!J$10:J$109)</f>
        <v>0</v>
      </c>
      <c r="K157" s="38">
        <f t="shared" si="222"/>
        <v>0</v>
      </c>
      <c r="L157" s="9" t="str">
        <f t="shared" ref="L157" si="267">IF(H157,CONCATENATE("                        ",B157,C157,D157),"")</f>
        <v/>
      </c>
    </row>
    <row r="158" spans="1:12" hidden="1">
      <c r="A158" s="28">
        <f>LOOKUP(A157,INICIO!A$10:A$109,INICIO!C$10:C$109)</f>
        <v>30</v>
      </c>
      <c r="B158" s="31" t="str">
        <f>CONCATENATE(C$7,".",C157," = ")</f>
        <v xml:space="preserve"> _distribuicao. = </v>
      </c>
      <c r="C158" s="23" t="str">
        <f t="shared" ref="C158" si="268">SUBSTITUTE(E158,"???",CONCATENATE(F158,G158,H158))</f>
        <v>0</v>
      </c>
      <c r="D158" s="23" t="s">
        <v>73</v>
      </c>
      <c r="E158" s="26">
        <f>LOOKUP(PESQUISAR!A158,AJUSTE!B:B,AJUSTE!F:F)</f>
        <v>0</v>
      </c>
      <c r="F158" s="30" t="s">
        <v>99</v>
      </c>
      <c r="G158" s="26" t="str">
        <f t="shared" ref="G158" si="269">C157</f>
        <v/>
      </c>
      <c r="H158" s="32" t="s">
        <v>100</v>
      </c>
      <c r="K158" s="38">
        <f t="shared" si="222"/>
        <v>0</v>
      </c>
      <c r="L158" s="9" t="str">
        <f t="shared" ref="L158" si="270">IF(H157,CONCATENATE("                            ",B158,C158,D158),"")</f>
        <v/>
      </c>
    </row>
    <row r="159" spans="1:12" hidden="1">
      <c r="A159" s="24">
        <v>68</v>
      </c>
      <c r="B159" s="21" t="s">
        <v>94</v>
      </c>
      <c r="C159" s="25" t="str">
        <f>LOOKUP(A159,INICIO!A$10:A$109,INICIO!K$10:K$109)</f>
        <v/>
      </c>
      <c r="D159" s="22" t="s">
        <v>95</v>
      </c>
      <c r="E159" s="22"/>
      <c r="F159" s="22"/>
      <c r="G159" s="22"/>
      <c r="H159" s="34">
        <f>LOOKUP(A159,INICIO!A$10:A$109,INICIO!J$10:J$109)</f>
        <v>0</v>
      </c>
      <c r="K159" s="38">
        <f t="shared" si="222"/>
        <v>0</v>
      </c>
      <c r="L159" s="9" t="str">
        <f t="shared" ref="L159" si="271">IF(H159,CONCATENATE("                        ",B159,C159,D159),"")</f>
        <v/>
      </c>
    </row>
    <row r="160" spans="1:12" hidden="1">
      <c r="A160" s="28">
        <f>LOOKUP(A159,INICIO!A$10:A$109,INICIO!C$10:C$109)</f>
        <v>30</v>
      </c>
      <c r="B160" s="31" t="str">
        <f>CONCATENATE(C$7,".",C159," = ")</f>
        <v xml:space="preserve"> _distribuicao. = </v>
      </c>
      <c r="C160" s="23" t="str">
        <f t="shared" ref="C160" si="272">SUBSTITUTE(E160,"???",CONCATENATE(F160,G160,H160))</f>
        <v>0</v>
      </c>
      <c r="D160" s="23" t="s">
        <v>73</v>
      </c>
      <c r="E160" s="26">
        <f>LOOKUP(PESQUISAR!A160,AJUSTE!B:B,AJUSTE!F:F)</f>
        <v>0</v>
      </c>
      <c r="F160" s="30" t="s">
        <v>99</v>
      </c>
      <c r="G160" s="26" t="str">
        <f t="shared" ref="G160" si="273">C159</f>
        <v/>
      </c>
      <c r="H160" s="32" t="s">
        <v>100</v>
      </c>
      <c r="K160" s="38">
        <f t="shared" si="222"/>
        <v>0</v>
      </c>
      <c r="L160" s="9" t="str">
        <f t="shared" ref="L160" si="274">IF(H159,CONCATENATE("                            ",B160,C160,D160),"")</f>
        <v/>
      </c>
    </row>
    <row r="161" spans="1:12" hidden="1">
      <c r="A161" s="24">
        <v>69</v>
      </c>
      <c r="B161" s="21" t="s">
        <v>94</v>
      </c>
      <c r="C161" s="25" t="str">
        <f>LOOKUP(A161,INICIO!A$10:A$109,INICIO!K$10:K$109)</f>
        <v/>
      </c>
      <c r="D161" s="22" t="s">
        <v>95</v>
      </c>
      <c r="E161" s="22"/>
      <c r="F161" s="22"/>
      <c r="G161" s="22"/>
      <c r="H161" s="34">
        <f>LOOKUP(A161,INICIO!A$10:A$109,INICIO!J$10:J$109)</f>
        <v>0</v>
      </c>
      <c r="K161" s="38">
        <f t="shared" si="222"/>
        <v>0</v>
      </c>
      <c r="L161" s="9" t="str">
        <f t="shared" ref="L161" si="275">IF(H161,CONCATENATE("                        ",B161,C161,D161),"")</f>
        <v/>
      </c>
    </row>
    <row r="162" spans="1:12" hidden="1">
      <c r="A162" s="28">
        <f>LOOKUP(A161,INICIO!A$10:A$109,INICIO!C$10:C$109)</f>
        <v>30</v>
      </c>
      <c r="B162" s="31" t="str">
        <f>CONCATENATE(C$7,".",C161," = ")</f>
        <v xml:space="preserve"> _distribuicao. = </v>
      </c>
      <c r="C162" s="23" t="str">
        <f t="shared" ref="C162" si="276">SUBSTITUTE(E162,"???",CONCATENATE(F162,G162,H162))</f>
        <v>0</v>
      </c>
      <c r="D162" s="23" t="s">
        <v>73</v>
      </c>
      <c r="E162" s="26">
        <f>LOOKUP(PESQUISAR!A162,AJUSTE!B:B,AJUSTE!F:F)</f>
        <v>0</v>
      </c>
      <c r="F162" s="30" t="s">
        <v>99</v>
      </c>
      <c r="G162" s="26" t="str">
        <f t="shared" ref="G162" si="277">C161</f>
        <v/>
      </c>
      <c r="H162" s="32" t="s">
        <v>100</v>
      </c>
      <c r="K162" s="38">
        <f t="shared" si="222"/>
        <v>0</v>
      </c>
      <c r="L162" s="9" t="str">
        <f t="shared" ref="L162" si="278">IF(H161,CONCATENATE("                            ",B162,C162,D162),"")</f>
        <v/>
      </c>
    </row>
    <row r="163" spans="1:12" hidden="1">
      <c r="A163" s="24">
        <v>70</v>
      </c>
      <c r="B163" s="21" t="s">
        <v>94</v>
      </c>
      <c r="C163" s="25" t="str">
        <f>LOOKUP(A163,INICIO!A$10:A$109,INICIO!K$10:K$109)</f>
        <v/>
      </c>
      <c r="D163" s="22" t="s">
        <v>95</v>
      </c>
      <c r="E163" s="22"/>
      <c r="F163" s="22"/>
      <c r="G163" s="22"/>
      <c r="H163" s="34">
        <f>LOOKUP(A163,INICIO!A$10:A$109,INICIO!J$10:J$109)</f>
        <v>0</v>
      </c>
      <c r="K163" s="38">
        <f t="shared" si="222"/>
        <v>0</v>
      </c>
      <c r="L163" s="9" t="str">
        <f t="shared" ref="L163" si="279">IF(H163,CONCATENATE("                        ",B163,C163,D163),"")</f>
        <v/>
      </c>
    </row>
    <row r="164" spans="1:12" hidden="1">
      <c r="A164" s="28">
        <f>LOOKUP(A163,INICIO!A$10:A$109,INICIO!C$10:C$109)</f>
        <v>30</v>
      </c>
      <c r="B164" s="31" t="str">
        <f>CONCATENATE(C$7,".",C163," = ")</f>
        <v xml:space="preserve"> _distribuicao. = </v>
      </c>
      <c r="C164" s="23" t="str">
        <f t="shared" ref="C164" si="280">SUBSTITUTE(E164,"???",CONCATENATE(F164,G164,H164))</f>
        <v>0</v>
      </c>
      <c r="D164" s="23" t="s">
        <v>73</v>
      </c>
      <c r="E164" s="26">
        <f>LOOKUP(PESQUISAR!A164,AJUSTE!B:B,AJUSTE!F:F)</f>
        <v>0</v>
      </c>
      <c r="F164" s="30" t="s">
        <v>99</v>
      </c>
      <c r="G164" s="26" t="str">
        <f t="shared" ref="G164" si="281">C163</f>
        <v/>
      </c>
      <c r="H164" s="32" t="s">
        <v>100</v>
      </c>
      <c r="K164" s="38">
        <f t="shared" si="222"/>
        <v>0</v>
      </c>
      <c r="L164" s="9" t="str">
        <f t="shared" ref="L164" si="282">IF(H163,CONCATENATE("                            ",B164,C164,D164),"")</f>
        <v/>
      </c>
    </row>
    <row r="165" spans="1:12" hidden="1">
      <c r="A165" s="24">
        <v>71</v>
      </c>
      <c r="B165" s="21" t="s">
        <v>94</v>
      </c>
      <c r="C165" s="25" t="str">
        <f>LOOKUP(A165,INICIO!A$10:A$109,INICIO!K$10:K$109)</f>
        <v/>
      </c>
      <c r="D165" s="22" t="s">
        <v>95</v>
      </c>
      <c r="E165" s="22"/>
      <c r="F165" s="22"/>
      <c r="G165" s="22"/>
      <c r="H165" s="34">
        <f>LOOKUP(A165,INICIO!A$10:A$109,INICIO!J$10:J$109)</f>
        <v>0</v>
      </c>
      <c r="K165" s="38">
        <f t="shared" si="222"/>
        <v>0</v>
      </c>
      <c r="L165" s="9" t="str">
        <f t="shared" ref="L165" si="283">IF(H165,CONCATENATE("                        ",B165,C165,D165),"")</f>
        <v/>
      </c>
    </row>
    <row r="166" spans="1:12" hidden="1">
      <c r="A166" s="28">
        <f>LOOKUP(A165,INICIO!A$10:A$109,INICIO!C$10:C$109)</f>
        <v>30</v>
      </c>
      <c r="B166" s="31" t="str">
        <f>CONCATENATE(C$7,".",C165," = ")</f>
        <v xml:space="preserve"> _distribuicao. = </v>
      </c>
      <c r="C166" s="23" t="str">
        <f t="shared" ref="C166" si="284">SUBSTITUTE(E166,"???",CONCATENATE(F166,G166,H166))</f>
        <v>0</v>
      </c>
      <c r="D166" s="23" t="s">
        <v>73</v>
      </c>
      <c r="E166" s="26">
        <f>LOOKUP(PESQUISAR!A166,AJUSTE!B:B,AJUSTE!F:F)</f>
        <v>0</v>
      </c>
      <c r="F166" s="30" t="s">
        <v>99</v>
      </c>
      <c r="G166" s="26" t="str">
        <f t="shared" ref="G166" si="285">C165</f>
        <v/>
      </c>
      <c r="H166" s="32" t="s">
        <v>100</v>
      </c>
      <c r="K166" s="38">
        <f t="shared" si="222"/>
        <v>0</v>
      </c>
      <c r="L166" s="9" t="str">
        <f t="shared" ref="L166" si="286">IF(H165,CONCATENATE("                            ",B166,C166,D166),"")</f>
        <v/>
      </c>
    </row>
    <row r="167" spans="1:12" hidden="1">
      <c r="A167" s="24">
        <v>72</v>
      </c>
      <c r="B167" s="21" t="s">
        <v>94</v>
      </c>
      <c r="C167" s="25" t="str">
        <f>LOOKUP(A167,INICIO!A$10:A$109,INICIO!K$10:K$109)</f>
        <v/>
      </c>
      <c r="D167" s="22" t="s">
        <v>95</v>
      </c>
      <c r="E167" s="22"/>
      <c r="F167" s="22"/>
      <c r="G167" s="22"/>
      <c r="H167" s="34">
        <f>LOOKUP(A167,INICIO!A$10:A$109,INICIO!J$10:J$109)</f>
        <v>0</v>
      </c>
      <c r="K167" s="38">
        <f t="shared" si="222"/>
        <v>0</v>
      </c>
      <c r="L167" s="9" t="str">
        <f t="shared" ref="L167" si="287">IF(H167,CONCATENATE("                        ",B167,C167,D167),"")</f>
        <v/>
      </c>
    </row>
    <row r="168" spans="1:12" hidden="1">
      <c r="A168" s="28">
        <f>LOOKUP(A167,INICIO!A$10:A$109,INICIO!C$10:C$109)</f>
        <v>30</v>
      </c>
      <c r="B168" s="31" t="str">
        <f>CONCATENATE(C$7,".",C167," = ")</f>
        <v xml:space="preserve"> _distribuicao. = </v>
      </c>
      <c r="C168" s="23" t="str">
        <f t="shared" ref="C168" si="288">SUBSTITUTE(E168,"???",CONCATENATE(F168,G168,H168))</f>
        <v>0</v>
      </c>
      <c r="D168" s="23" t="s">
        <v>73</v>
      </c>
      <c r="E168" s="26">
        <f>LOOKUP(PESQUISAR!A168,AJUSTE!B:B,AJUSTE!F:F)</f>
        <v>0</v>
      </c>
      <c r="F168" s="30" t="s">
        <v>99</v>
      </c>
      <c r="G168" s="26" t="str">
        <f t="shared" ref="G168" si="289">C167</f>
        <v/>
      </c>
      <c r="H168" s="32" t="s">
        <v>100</v>
      </c>
      <c r="K168" s="38">
        <f t="shared" si="222"/>
        <v>0</v>
      </c>
      <c r="L168" s="9" t="str">
        <f t="shared" ref="L168" si="290">IF(H167,CONCATENATE("                            ",B168,C168,D168),"")</f>
        <v/>
      </c>
    </row>
    <row r="169" spans="1:12" hidden="1">
      <c r="A169" s="24">
        <v>73</v>
      </c>
      <c r="B169" s="21" t="s">
        <v>94</v>
      </c>
      <c r="C169" s="25" t="str">
        <f>LOOKUP(A169,INICIO!A$10:A$109,INICIO!K$10:K$109)</f>
        <v/>
      </c>
      <c r="D169" s="22" t="s">
        <v>95</v>
      </c>
      <c r="E169" s="22"/>
      <c r="F169" s="22"/>
      <c r="G169" s="22"/>
      <c r="H169" s="34">
        <f>LOOKUP(A169,INICIO!A$10:A$109,INICIO!J$10:J$109)</f>
        <v>0</v>
      </c>
      <c r="K169" s="38">
        <f t="shared" si="222"/>
        <v>0</v>
      </c>
      <c r="L169" s="9" t="str">
        <f t="shared" ref="L169" si="291">IF(H169,CONCATENATE("                        ",B169,C169,D169),"")</f>
        <v/>
      </c>
    </row>
    <row r="170" spans="1:12" hidden="1">
      <c r="A170" s="28">
        <f>LOOKUP(A169,INICIO!A$10:A$109,INICIO!C$10:C$109)</f>
        <v>30</v>
      </c>
      <c r="B170" s="31" t="str">
        <f>CONCATENATE(C$7,".",C169," = ")</f>
        <v xml:space="preserve"> _distribuicao. = </v>
      </c>
      <c r="C170" s="23" t="str">
        <f t="shared" ref="C170" si="292">SUBSTITUTE(E170,"???",CONCATENATE(F170,G170,H170))</f>
        <v>0</v>
      </c>
      <c r="D170" s="23" t="s">
        <v>73</v>
      </c>
      <c r="E170" s="26">
        <f>LOOKUP(PESQUISAR!A170,AJUSTE!B:B,AJUSTE!F:F)</f>
        <v>0</v>
      </c>
      <c r="F170" s="30" t="s">
        <v>99</v>
      </c>
      <c r="G170" s="26" t="str">
        <f t="shared" ref="G170" si="293">C169</f>
        <v/>
      </c>
      <c r="H170" s="32" t="s">
        <v>100</v>
      </c>
      <c r="K170" s="38">
        <f t="shared" si="222"/>
        <v>0</v>
      </c>
      <c r="L170" s="9" t="str">
        <f t="shared" ref="L170" si="294">IF(H169,CONCATENATE("                            ",B170,C170,D170),"")</f>
        <v/>
      </c>
    </row>
    <row r="171" spans="1:12" hidden="1">
      <c r="A171" s="24">
        <v>74</v>
      </c>
      <c r="B171" s="21" t="s">
        <v>94</v>
      </c>
      <c r="C171" s="25" t="str">
        <f>LOOKUP(A171,INICIO!A$10:A$109,INICIO!K$10:K$109)</f>
        <v/>
      </c>
      <c r="D171" s="22" t="s">
        <v>95</v>
      </c>
      <c r="E171" s="22"/>
      <c r="F171" s="22"/>
      <c r="G171" s="22"/>
      <c r="H171" s="34">
        <f>LOOKUP(A171,INICIO!A$10:A$109,INICIO!J$10:J$109)</f>
        <v>0</v>
      </c>
      <c r="K171" s="38">
        <f t="shared" si="222"/>
        <v>0</v>
      </c>
      <c r="L171" s="9" t="str">
        <f t="shared" ref="L171" si="295">IF(H171,CONCATENATE("                        ",B171,C171,D171),"")</f>
        <v/>
      </c>
    </row>
    <row r="172" spans="1:12" hidden="1">
      <c r="A172" s="28">
        <f>LOOKUP(A171,INICIO!A$10:A$109,INICIO!C$10:C$109)</f>
        <v>30</v>
      </c>
      <c r="B172" s="31" t="str">
        <f>CONCATENATE(C$7,".",C171," = ")</f>
        <v xml:space="preserve"> _distribuicao. = </v>
      </c>
      <c r="C172" s="23" t="str">
        <f t="shared" ref="C172" si="296">SUBSTITUTE(E172,"???",CONCATENATE(F172,G172,H172))</f>
        <v>0</v>
      </c>
      <c r="D172" s="23" t="s">
        <v>73</v>
      </c>
      <c r="E172" s="26">
        <f>LOOKUP(PESQUISAR!A172,AJUSTE!B:B,AJUSTE!F:F)</f>
        <v>0</v>
      </c>
      <c r="F172" s="30" t="s">
        <v>99</v>
      </c>
      <c r="G172" s="26" t="str">
        <f t="shared" ref="G172" si="297">C171</f>
        <v/>
      </c>
      <c r="H172" s="32" t="s">
        <v>100</v>
      </c>
      <c r="K172" s="38">
        <f t="shared" si="222"/>
        <v>0</v>
      </c>
      <c r="L172" s="9" t="str">
        <f t="shared" ref="L172" si="298">IF(H171,CONCATENATE("                            ",B172,C172,D172),"")</f>
        <v/>
      </c>
    </row>
    <row r="173" spans="1:12" hidden="1">
      <c r="A173" s="24">
        <v>75</v>
      </c>
      <c r="B173" s="21" t="s">
        <v>94</v>
      </c>
      <c r="C173" s="25" t="str">
        <f>LOOKUP(A173,INICIO!A$10:A$109,INICIO!K$10:K$109)</f>
        <v/>
      </c>
      <c r="D173" s="22" t="s">
        <v>95</v>
      </c>
      <c r="E173" s="22"/>
      <c r="F173" s="22"/>
      <c r="G173" s="22"/>
      <c r="H173" s="34">
        <f>LOOKUP(A173,INICIO!A$10:A$109,INICIO!J$10:J$109)</f>
        <v>0</v>
      </c>
      <c r="K173" s="38">
        <f t="shared" si="222"/>
        <v>0</v>
      </c>
      <c r="L173" s="9" t="str">
        <f t="shared" ref="L173" si="299">IF(H173,CONCATENATE("                        ",B173,C173,D173),"")</f>
        <v/>
      </c>
    </row>
    <row r="174" spans="1:12" hidden="1">
      <c r="A174" s="28">
        <f>LOOKUP(A173,INICIO!A$10:A$109,INICIO!C$10:C$109)</f>
        <v>30</v>
      </c>
      <c r="B174" s="31" t="str">
        <f>CONCATENATE(C$7,".",C173," = ")</f>
        <v xml:space="preserve"> _distribuicao. = </v>
      </c>
      <c r="C174" s="23" t="str">
        <f t="shared" ref="C174" si="300">SUBSTITUTE(E174,"???",CONCATENATE(F174,G174,H174))</f>
        <v>0</v>
      </c>
      <c r="D174" s="23" t="s">
        <v>73</v>
      </c>
      <c r="E174" s="26">
        <f>LOOKUP(PESQUISAR!A174,AJUSTE!B:B,AJUSTE!F:F)</f>
        <v>0</v>
      </c>
      <c r="F174" s="30" t="s">
        <v>99</v>
      </c>
      <c r="G174" s="26" t="str">
        <f t="shared" ref="G174" si="301">C173</f>
        <v/>
      </c>
      <c r="H174" s="32" t="s">
        <v>100</v>
      </c>
      <c r="K174" s="38">
        <f t="shared" si="222"/>
        <v>0</v>
      </c>
      <c r="L174" s="9" t="str">
        <f t="shared" ref="L174" si="302">IF(H173,CONCATENATE("                            ",B174,C174,D174),"")</f>
        <v/>
      </c>
    </row>
    <row r="175" spans="1:12" hidden="1">
      <c r="A175" s="24">
        <v>76</v>
      </c>
      <c r="B175" s="21" t="s">
        <v>94</v>
      </c>
      <c r="C175" s="25" t="str">
        <f>LOOKUP(A175,INICIO!A$10:A$109,INICIO!K$10:K$109)</f>
        <v/>
      </c>
      <c r="D175" s="22" t="s">
        <v>95</v>
      </c>
      <c r="E175" s="22"/>
      <c r="F175" s="22"/>
      <c r="G175" s="22"/>
      <c r="H175" s="34">
        <f>LOOKUP(A175,INICIO!A$10:A$109,INICIO!J$10:J$109)</f>
        <v>0</v>
      </c>
      <c r="K175" s="38">
        <f t="shared" si="222"/>
        <v>0</v>
      </c>
      <c r="L175" s="9" t="str">
        <f t="shared" ref="L175" si="303">IF(H175,CONCATENATE("                        ",B175,C175,D175),"")</f>
        <v/>
      </c>
    </row>
    <row r="176" spans="1:12" hidden="1">
      <c r="A176" s="28">
        <f>LOOKUP(A175,INICIO!A$10:A$109,INICIO!C$10:C$109)</f>
        <v>30</v>
      </c>
      <c r="B176" s="31" t="str">
        <f>CONCATENATE(C$7,".",C175," = ")</f>
        <v xml:space="preserve"> _distribuicao. = </v>
      </c>
      <c r="C176" s="23" t="str">
        <f t="shared" ref="C176" si="304">SUBSTITUTE(E176,"???",CONCATENATE(F176,G176,H176))</f>
        <v>0</v>
      </c>
      <c r="D176" s="23" t="s">
        <v>73</v>
      </c>
      <c r="E176" s="26">
        <f>LOOKUP(PESQUISAR!A176,AJUSTE!B:B,AJUSTE!F:F)</f>
        <v>0</v>
      </c>
      <c r="F176" s="30" t="s">
        <v>99</v>
      </c>
      <c r="G176" s="26" t="str">
        <f t="shared" ref="G176" si="305">C175</f>
        <v/>
      </c>
      <c r="H176" s="32" t="s">
        <v>100</v>
      </c>
      <c r="K176" s="38">
        <f t="shared" si="222"/>
        <v>0</v>
      </c>
      <c r="L176" s="9" t="str">
        <f t="shared" ref="L176" si="306">IF(H175,CONCATENATE("                            ",B176,C176,D176),"")</f>
        <v/>
      </c>
    </row>
    <row r="177" spans="1:12" hidden="1">
      <c r="A177" s="24">
        <v>77</v>
      </c>
      <c r="B177" s="21" t="s">
        <v>94</v>
      </c>
      <c r="C177" s="25" t="str">
        <f>LOOKUP(A177,INICIO!A$10:A$109,INICIO!K$10:K$109)</f>
        <v/>
      </c>
      <c r="D177" s="22" t="s">
        <v>95</v>
      </c>
      <c r="E177" s="22"/>
      <c r="F177" s="22"/>
      <c r="G177" s="22"/>
      <c r="H177" s="34">
        <f>LOOKUP(A177,INICIO!A$10:A$109,INICIO!J$10:J$109)</f>
        <v>0</v>
      </c>
      <c r="K177" s="38">
        <f t="shared" si="222"/>
        <v>0</v>
      </c>
      <c r="L177" s="9" t="str">
        <f t="shared" ref="L177" si="307">IF(H177,CONCATENATE("                        ",B177,C177,D177),"")</f>
        <v/>
      </c>
    </row>
    <row r="178" spans="1:12" hidden="1">
      <c r="A178" s="28">
        <f>LOOKUP(A177,INICIO!A$10:A$109,INICIO!C$10:C$109)</f>
        <v>30</v>
      </c>
      <c r="B178" s="31" t="str">
        <f>CONCATENATE(C$7,".",C177," = ")</f>
        <v xml:space="preserve"> _distribuicao. = </v>
      </c>
      <c r="C178" s="23" t="str">
        <f t="shared" ref="C178" si="308">SUBSTITUTE(E178,"???",CONCATENATE(F178,G178,H178))</f>
        <v>0</v>
      </c>
      <c r="D178" s="23" t="s">
        <v>73</v>
      </c>
      <c r="E178" s="26">
        <f>LOOKUP(PESQUISAR!A178,AJUSTE!B:B,AJUSTE!F:F)</f>
        <v>0</v>
      </c>
      <c r="F178" s="30" t="s">
        <v>99</v>
      </c>
      <c r="G178" s="26" t="str">
        <f t="shared" ref="G178" si="309">C177</f>
        <v/>
      </c>
      <c r="H178" s="32" t="s">
        <v>100</v>
      </c>
      <c r="K178" s="38">
        <f t="shared" si="222"/>
        <v>0</v>
      </c>
      <c r="L178" s="9" t="str">
        <f t="shared" ref="L178" si="310">IF(H177,CONCATENATE("                            ",B178,C178,D178),"")</f>
        <v/>
      </c>
    </row>
    <row r="179" spans="1:12" hidden="1">
      <c r="A179" s="24">
        <v>78</v>
      </c>
      <c r="B179" s="21" t="s">
        <v>94</v>
      </c>
      <c r="C179" s="25" t="str">
        <f>LOOKUP(A179,INICIO!A$10:A$109,INICIO!K$10:K$109)</f>
        <v/>
      </c>
      <c r="D179" s="22" t="s">
        <v>95</v>
      </c>
      <c r="E179" s="22"/>
      <c r="F179" s="22"/>
      <c r="G179" s="22"/>
      <c r="H179" s="34">
        <f>LOOKUP(A179,INICIO!A$10:A$109,INICIO!J$10:J$109)</f>
        <v>0</v>
      </c>
      <c r="K179" s="38">
        <f t="shared" si="222"/>
        <v>0</v>
      </c>
      <c r="L179" s="9" t="str">
        <f t="shared" ref="L179" si="311">IF(H179,CONCATENATE("                        ",B179,C179,D179),"")</f>
        <v/>
      </c>
    </row>
    <row r="180" spans="1:12" hidden="1">
      <c r="A180" s="28">
        <f>LOOKUP(A179,INICIO!A$10:A$109,INICIO!C$10:C$109)</f>
        <v>30</v>
      </c>
      <c r="B180" s="31" t="str">
        <f>CONCATENATE(C$7,".",C179," = ")</f>
        <v xml:space="preserve"> _distribuicao. = </v>
      </c>
      <c r="C180" s="23" t="str">
        <f t="shared" ref="C180" si="312">SUBSTITUTE(E180,"???",CONCATENATE(F180,G180,H180))</f>
        <v>0</v>
      </c>
      <c r="D180" s="23" t="s">
        <v>73</v>
      </c>
      <c r="E180" s="26">
        <f>LOOKUP(PESQUISAR!A180,AJUSTE!B:B,AJUSTE!F:F)</f>
        <v>0</v>
      </c>
      <c r="F180" s="30" t="s">
        <v>99</v>
      </c>
      <c r="G180" s="26" t="str">
        <f t="shared" ref="G180" si="313">C179</f>
        <v/>
      </c>
      <c r="H180" s="32" t="s">
        <v>100</v>
      </c>
      <c r="K180" s="38">
        <f t="shared" si="222"/>
        <v>0</v>
      </c>
      <c r="L180" s="9" t="str">
        <f t="shared" ref="L180" si="314">IF(H179,CONCATENATE("                            ",B180,C180,D180),"")</f>
        <v/>
      </c>
    </row>
    <row r="181" spans="1:12" hidden="1">
      <c r="A181" s="24">
        <v>79</v>
      </c>
      <c r="B181" s="21" t="s">
        <v>94</v>
      </c>
      <c r="C181" s="25" t="str">
        <f>LOOKUP(A181,INICIO!A$10:A$109,INICIO!K$10:K$109)</f>
        <v/>
      </c>
      <c r="D181" s="22" t="s">
        <v>95</v>
      </c>
      <c r="E181" s="22"/>
      <c r="F181" s="22"/>
      <c r="G181" s="22"/>
      <c r="H181" s="34">
        <f>LOOKUP(A181,INICIO!A$10:A$109,INICIO!J$10:J$109)</f>
        <v>0</v>
      </c>
      <c r="K181" s="38">
        <f t="shared" si="222"/>
        <v>0</v>
      </c>
      <c r="L181" s="9" t="str">
        <f t="shared" ref="L181" si="315">IF(H181,CONCATENATE("                        ",B181,C181,D181),"")</f>
        <v/>
      </c>
    </row>
    <row r="182" spans="1:12" hidden="1">
      <c r="A182" s="28">
        <f>LOOKUP(A181,INICIO!A$10:A$109,INICIO!C$10:C$109)</f>
        <v>30</v>
      </c>
      <c r="B182" s="31" t="str">
        <f>CONCATENATE(C$7,".",C181," = ")</f>
        <v xml:space="preserve"> _distribuicao. = </v>
      </c>
      <c r="C182" s="23" t="str">
        <f t="shared" ref="C182" si="316">SUBSTITUTE(E182,"???",CONCATENATE(F182,G182,H182))</f>
        <v>0</v>
      </c>
      <c r="D182" s="23" t="s">
        <v>73</v>
      </c>
      <c r="E182" s="26">
        <f>LOOKUP(PESQUISAR!A182,AJUSTE!B:B,AJUSTE!F:F)</f>
        <v>0</v>
      </c>
      <c r="F182" s="30" t="s">
        <v>99</v>
      </c>
      <c r="G182" s="26" t="str">
        <f t="shared" ref="G182" si="317">C181</f>
        <v/>
      </c>
      <c r="H182" s="32" t="s">
        <v>100</v>
      </c>
      <c r="K182" s="38">
        <f t="shared" si="222"/>
        <v>0</v>
      </c>
      <c r="L182" s="9" t="str">
        <f t="shared" ref="L182" si="318">IF(H181,CONCATENATE("                            ",B182,C182,D182),"")</f>
        <v/>
      </c>
    </row>
    <row r="183" spans="1:12" hidden="1">
      <c r="A183" s="24">
        <v>80</v>
      </c>
      <c r="B183" s="21" t="s">
        <v>94</v>
      </c>
      <c r="C183" s="25" t="str">
        <f>LOOKUP(A183,INICIO!A$10:A$109,INICIO!K$10:K$109)</f>
        <v/>
      </c>
      <c r="D183" s="22" t="s">
        <v>95</v>
      </c>
      <c r="E183" s="22"/>
      <c r="F183" s="22"/>
      <c r="G183" s="22"/>
      <c r="H183" s="34">
        <f>LOOKUP(A183,INICIO!A$10:A$109,INICIO!J$10:J$109)</f>
        <v>0</v>
      </c>
      <c r="K183" s="38">
        <f t="shared" si="222"/>
        <v>0</v>
      </c>
      <c r="L183" s="9" t="str">
        <f t="shared" ref="L183" si="319">IF(H183,CONCATENATE("                        ",B183,C183,D183),"")</f>
        <v/>
      </c>
    </row>
    <row r="184" spans="1:12" hidden="1">
      <c r="A184" s="28">
        <f>LOOKUP(A183,INICIO!A$10:A$109,INICIO!C$10:C$109)</f>
        <v>30</v>
      </c>
      <c r="B184" s="31" t="str">
        <f>CONCATENATE(C$7,".",C183," = ")</f>
        <v xml:space="preserve"> _distribuicao. = </v>
      </c>
      <c r="C184" s="23" t="str">
        <f t="shared" ref="C184" si="320">SUBSTITUTE(E184,"???",CONCATENATE(F184,G184,H184))</f>
        <v>0</v>
      </c>
      <c r="D184" s="23" t="s">
        <v>73</v>
      </c>
      <c r="E184" s="26">
        <f>LOOKUP(PESQUISAR!A184,AJUSTE!B:B,AJUSTE!F:F)</f>
        <v>0</v>
      </c>
      <c r="F184" s="30" t="s">
        <v>99</v>
      </c>
      <c r="G184" s="26" t="str">
        <f t="shared" ref="G184" si="321">C183</f>
        <v/>
      </c>
      <c r="H184" s="32" t="s">
        <v>100</v>
      </c>
      <c r="K184" s="38">
        <f t="shared" si="222"/>
        <v>0</v>
      </c>
      <c r="L184" s="9" t="str">
        <f t="shared" ref="L184" si="322">IF(H183,CONCATENATE("                            ",B184,C184,D184),"")</f>
        <v/>
      </c>
    </row>
    <row r="185" spans="1:12" hidden="1">
      <c r="A185" s="24">
        <v>81</v>
      </c>
      <c r="B185" s="21" t="s">
        <v>94</v>
      </c>
      <c r="C185" s="25" t="str">
        <f>LOOKUP(A185,INICIO!A$10:A$109,INICIO!K$10:K$109)</f>
        <v/>
      </c>
      <c r="D185" s="22" t="s">
        <v>95</v>
      </c>
      <c r="E185" s="22"/>
      <c r="F185" s="22"/>
      <c r="G185" s="22"/>
      <c r="H185" s="34">
        <f>LOOKUP(A185,INICIO!A$10:A$109,INICIO!J$10:J$109)</f>
        <v>0</v>
      </c>
      <c r="K185" s="38">
        <f t="shared" si="222"/>
        <v>0</v>
      </c>
      <c r="L185" s="9" t="str">
        <f t="shared" ref="L185" si="323">IF(H185,CONCATENATE("                        ",B185,C185,D185),"")</f>
        <v/>
      </c>
    </row>
    <row r="186" spans="1:12" hidden="1">
      <c r="A186" s="28">
        <f>LOOKUP(A185,INICIO!A$10:A$109,INICIO!C$10:C$109)</f>
        <v>30</v>
      </c>
      <c r="B186" s="31" t="str">
        <f>CONCATENATE(C$7,".",C185," = ")</f>
        <v xml:space="preserve"> _distribuicao. = </v>
      </c>
      <c r="C186" s="23" t="str">
        <f t="shared" ref="C186" si="324">SUBSTITUTE(E186,"???",CONCATENATE(F186,G186,H186))</f>
        <v>0</v>
      </c>
      <c r="D186" s="23" t="s">
        <v>73</v>
      </c>
      <c r="E186" s="26">
        <f>LOOKUP(PESQUISAR!A186,AJUSTE!B:B,AJUSTE!F:F)</f>
        <v>0</v>
      </c>
      <c r="F186" s="30" t="s">
        <v>99</v>
      </c>
      <c r="G186" s="26" t="str">
        <f t="shared" ref="G186" si="325">C185</f>
        <v/>
      </c>
      <c r="H186" s="32" t="s">
        <v>100</v>
      </c>
      <c r="K186" s="38">
        <f t="shared" si="222"/>
        <v>0</v>
      </c>
      <c r="L186" s="9" t="str">
        <f t="shared" ref="L186" si="326">IF(H185,CONCATENATE("                            ",B186,C186,D186),"")</f>
        <v/>
      </c>
    </row>
    <row r="187" spans="1:12" hidden="1">
      <c r="A187" s="24">
        <v>82</v>
      </c>
      <c r="B187" s="21" t="s">
        <v>94</v>
      </c>
      <c r="C187" s="25" t="str">
        <f>LOOKUP(A187,INICIO!A$10:A$109,INICIO!K$10:K$109)</f>
        <v/>
      </c>
      <c r="D187" s="22" t="s">
        <v>95</v>
      </c>
      <c r="E187" s="22"/>
      <c r="F187" s="22"/>
      <c r="G187" s="22"/>
      <c r="H187" s="34">
        <f>LOOKUP(A187,INICIO!A$10:A$109,INICIO!J$10:J$109)</f>
        <v>0</v>
      </c>
      <c r="K187" s="38">
        <f t="shared" si="222"/>
        <v>0</v>
      </c>
      <c r="L187" s="9" t="str">
        <f t="shared" ref="L187" si="327">IF(H187,CONCATENATE("                        ",B187,C187,D187),"")</f>
        <v/>
      </c>
    </row>
    <row r="188" spans="1:12" hidden="1">
      <c r="A188" s="28">
        <f>LOOKUP(A187,INICIO!A$10:A$109,INICIO!C$10:C$109)</f>
        <v>30</v>
      </c>
      <c r="B188" s="31" t="str">
        <f>CONCATENATE(C$7,".",C187," = ")</f>
        <v xml:space="preserve"> _distribuicao. = </v>
      </c>
      <c r="C188" s="23" t="str">
        <f t="shared" ref="C188" si="328">SUBSTITUTE(E188,"???",CONCATENATE(F188,G188,H188))</f>
        <v>0</v>
      </c>
      <c r="D188" s="23" t="s">
        <v>73</v>
      </c>
      <c r="E188" s="26">
        <f>LOOKUP(PESQUISAR!A188,AJUSTE!B:B,AJUSTE!F:F)</f>
        <v>0</v>
      </c>
      <c r="F188" s="30" t="s">
        <v>99</v>
      </c>
      <c r="G188" s="26" t="str">
        <f t="shared" ref="G188" si="329">C187</f>
        <v/>
      </c>
      <c r="H188" s="32" t="s">
        <v>100</v>
      </c>
      <c r="K188" s="38">
        <f t="shared" si="222"/>
        <v>0</v>
      </c>
      <c r="L188" s="9" t="str">
        <f t="shared" ref="L188" si="330">IF(H187,CONCATENATE("                            ",B188,C188,D188),"")</f>
        <v/>
      </c>
    </row>
    <row r="189" spans="1:12" hidden="1">
      <c r="A189" s="24">
        <v>83</v>
      </c>
      <c r="B189" s="21" t="s">
        <v>94</v>
      </c>
      <c r="C189" s="25" t="str">
        <f>LOOKUP(A189,INICIO!A$10:A$109,INICIO!K$10:K$109)</f>
        <v/>
      </c>
      <c r="D189" s="22" t="s">
        <v>95</v>
      </c>
      <c r="E189" s="22"/>
      <c r="F189" s="22"/>
      <c r="G189" s="22"/>
      <c r="H189" s="34">
        <f>LOOKUP(A189,INICIO!A$10:A$109,INICIO!J$10:J$109)</f>
        <v>0</v>
      </c>
      <c r="K189" s="38">
        <f t="shared" si="222"/>
        <v>0</v>
      </c>
      <c r="L189" s="9" t="str">
        <f t="shared" ref="L189" si="331">IF(H189,CONCATENATE("                        ",B189,C189,D189),"")</f>
        <v/>
      </c>
    </row>
    <row r="190" spans="1:12" hidden="1">
      <c r="A190" s="28">
        <f>LOOKUP(A189,INICIO!A$10:A$109,INICIO!C$10:C$109)</f>
        <v>30</v>
      </c>
      <c r="B190" s="31" t="str">
        <f>CONCATENATE(C$7,".",C189," = ")</f>
        <v xml:space="preserve"> _distribuicao. = </v>
      </c>
      <c r="C190" s="23" t="str">
        <f t="shared" ref="C190" si="332">SUBSTITUTE(E190,"???",CONCATENATE(F190,G190,H190))</f>
        <v>0</v>
      </c>
      <c r="D190" s="23" t="s">
        <v>73</v>
      </c>
      <c r="E190" s="26">
        <f>LOOKUP(PESQUISAR!A190,AJUSTE!B:B,AJUSTE!F:F)</f>
        <v>0</v>
      </c>
      <c r="F190" s="30" t="s">
        <v>99</v>
      </c>
      <c r="G190" s="26" t="str">
        <f t="shared" ref="G190" si="333">C189</f>
        <v/>
      </c>
      <c r="H190" s="32" t="s">
        <v>100</v>
      </c>
      <c r="K190" s="38">
        <f t="shared" si="222"/>
        <v>0</v>
      </c>
      <c r="L190" s="9" t="str">
        <f t="shared" ref="L190" si="334">IF(H189,CONCATENATE("                            ",B190,C190,D190),"")</f>
        <v/>
      </c>
    </row>
    <row r="191" spans="1:12" hidden="1">
      <c r="A191" s="24">
        <v>84</v>
      </c>
      <c r="B191" s="21" t="s">
        <v>94</v>
      </c>
      <c r="C191" s="25" t="str">
        <f>LOOKUP(A191,INICIO!A$10:A$109,INICIO!K$10:K$109)</f>
        <v/>
      </c>
      <c r="D191" s="22" t="s">
        <v>95</v>
      </c>
      <c r="E191" s="22"/>
      <c r="F191" s="22"/>
      <c r="G191" s="22"/>
      <c r="H191" s="34">
        <f>LOOKUP(A191,INICIO!A$10:A$109,INICIO!J$10:J$109)</f>
        <v>0</v>
      </c>
      <c r="K191" s="38">
        <f t="shared" si="222"/>
        <v>0</v>
      </c>
      <c r="L191" s="9" t="str">
        <f t="shared" ref="L191" si="335">IF(H191,CONCATENATE("                        ",B191,C191,D191),"")</f>
        <v/>
      </c>
    </row>
    <row r="192" spans="1:12" hidden="1">
      <c r="A192" s="28">
        <f>LOOKUP(A191,INICIO!A$10:A$109,INICIO!C$10:C$109)</f>
        <v>30</v>
      </c>
      <c r="B192" s="31" t="str">
        <f>CONCATENATE(C$7,".",C191," = ")</f>
        <v xml:space="preserve"> _distribuicao. = </v>
      </c>
      <c r="C192" s="23" t="str">
        <f t="shared" ref="C192" si="336">SUBSTITUTE(E192,"???",CONCATENATE(F192,G192,H192))</f>
        <v>0</v>
      </c>
      <c r="D192" s="23" t="s">
        <v>73</v>
      </c>
      <c r="E192" s="26">
        <f>LOOKUP(PESQUISAR!A192,AJUSTE!B:B,AJUSTE!F:F)</f>
        <v>0</v>
      </c>
      <c r="F192" s="30" t="s">
        <v>99</v>
      </c>
      <c r="G192" s="26" t="str">
        <f t="shared" ref="G192" si="337">C191</f>
        <v/>
      </c>
      <c r="H192" s="32" t="s">
        <v>100</v>
      </c>
      <c r="K192" s="38">
        <f t="shared" si="222"/>
        <v>0</v>
      </c>
      <c r="L192" s="9" t="str">
        <f t="shared" ref="L192" si="338">IF(H191,CONCATENATE("                            ",B192,C192,D192),"")</f>
        <v/>
      </c>
    </row>
    <row r="193" spans="1:12" hidden="1">
      <c r="A193" s="24">
        <v>85</v>
      </c>
      <c r="B193" s="21" t="s">
        <v>94</v>
      </c>
      <c r="C193" s="25" t="str">
        <f>LOOKUP(A193,INICIO!A$10:A$109,INICIO!K$10:K$109)</f>
        <v/>
      </c>
      <c r="D193" s="22" t="s">
        <v>95</v>
      </c>
      <c r="E193" s="22"/>
      <c r="F193" s="22"/>
      <c r="G193" s="22"/>
      <c r="H193" s="34">
        <f>LOOKUP(A193,INICIO!A$10:A$109,INICIO!J$10:J$109)</f>
        <v>0</v>
      </c>
      <c r="K193" s="38">
        <f t="shared" si="222"/>
        <v>0</v>
      </c>
      <c r="L193" s="9" t="str">
        <f t="shared" ref="L193" si="339">IF(H193,CONCATENATE("                        ",B193,C193,D193),"")</f>
        <v/>
      </c>
    </row>
    <row r="194" spans="1:12" hidden="1">
      <c r="A194" s="28">
        <f>LOOKUP(A193,INICIO!A$10:A$109,INICIO!C$10:C$109)</f>
        <v>30</v>
      </c>
      <c r="B194" s="31" t="str">
        <f>CONCATENATE(C$7,".",C193," = ")</f>
        <v xml:space="preserve"> _distribuicao. = </v>
      </c>
      <c r="C194" s="23" t="str">
        <f t="shared" ref="C194" si="340">SUBSTITUTE(E194,"???",CONCATENATE(F194,G194,H194))</f>
        <v>0</v>
      </c>
      <c r="D194" s="23" t="s">
        <v>73</v>
      </c>
      <c r="E194" s="26">
        <f>LOOKUP(PESQUISAR!A194,AJUSTE!B:B,AJUSTE!F:F)</f>
        <v>0</v>
      </c>
      <c r="F194" s="30" t="s">
        <v>99</v>
      </c>
      <c r="G194" s="26" t="str">
        <f t="shared" ref="G194" si="341">C193</f>
        <v/>
      </c>
      <c r="H194" s="32" t="s">
        <v>100</v>
      </c>
      <c r="K194" s="38">
        <f t="shared" si="222"/>
        <v>0</v>
      </c>
      <c r="L194" s="9" t="str">
        <f t="shared" ref="L194" si="342">IF(H193,CONCATENATE("                            ",B194,C194,D194),"")</f>
        <v/>
      </c>
    </row>
    <row r="195" spans="1:12" hidden="1">
      <c r="A195" s="24">
        <v>86</v>
      </c>
      <c r="B195" s="21" t="s">
        <v>94</v>
      </c>
      <c r="C195" s="25" t="str">
        <f>LOOKUP(A195,INICIO!A$10:A$109,INICIO!K$10:K$109)</f>
        <v/>
      </c>
      <c r="D195" s="22" t="s">
        <v>95</v>
      </c>
      <c r="E195" s="22"/>
      <c r="F195" s="22"/>
      <c r="G195" s="22"/>
      <c r="H195" s="34">
        <f>LOOKUP(A195,INICIO!A$10:A$109,INICIO!J$10:J$109)</f>
        <v>0</v>
      </c>
      <c r="K195" s="38">
        <f t="shared" si="222"/>
        <v>0</v>
      </c>
      <c r="L195" s="9" t="str">
        <f t="shared" ref="L195" si="343">IF(H195,CONCATENATE("                        ",B195,C195,D195),"")</f>
        <v/>
      </c>
    </row>
    <row r="196" spans="1:12" hidden="1">
      <c r="A196" s="28">
        <f>LOOKUP(A195,INICIO!A$10:A$109,INICIO!C$10:C$109)</f>
        <v>30</v>
      </c>
      <c r="B196" s="31" t="str">
        <f>CONCATENATE(C$7,".",C195," = ")</f>
        <v xml:space="preserve"> _distribuicao. = </v>
      </c>
      <c r="C196" s="23" t="str">
        <f t="shared" ref="C196" si="344">SUBSTITUTE(E196,"???",CONCATENATE(F196,G196,H196))</f>
        <v>0</v>
      </c>
      <c r="D196" s="23" t="s">
        <v>73</v>
      </c>
      <c r="E196" s="26">
        <f>LOOKUP(PESQUISAR!A196,AJUSTE!B:B,AJUSTE!F:F)</f>
        <v>0</v>
      </c>
      <c r="F196" s="30" t="s">
        <v>99</v>
      </c>
      <c r="G196" s="26" t="str">
        <f t="shared" ref="G196" si="345">C195</f>
        <v/>
      </c>
      <c r="H196" s="32" t="s">
        <v>100</v>
      </c>
      <c r="K196" s="38">
        <f t="shared" si="222"/>
        <v>0</v>
      </c>
      <c r="L196" s="9" t="str">
        <f t="shared" ref="L196" si="346">IF(H195,CONCATENATE("                            ",B196,C196,D196),"")</f>
        <v/>
      </c>
    </row>
    <row r="197" spans="1:12" hidden="1">
      <c r="A197" s="24">
        <v>87</v>
      </c>
      <c r="B197" s="21" t="s">
        <v>94</v>
      </c>
      <c r="C197" s="25" t="str">
        <f>LOOKUP(A197,INICIO!A$10:A$109,INICIO!K$10:K$109)</f>
        <v/>
      </c>
      <c r="D197" s="22" t="s">
        <v>95</v>
      </c>
      <c r="E197" s="22"/>
      <c r="F197" s="22"/>
      <c r="G197" s="22"/>
      <c r="H197" s="34">
        <f>LOOKUP(A197,INICIO!A$10:A$109,INICIO!J$10:J$109)</f>
        <v>0</v>
      </c>
      <c r="K197" s="38">
        <f t="shared" si="222"/>
        <v>0</v>
      </c>
      <c r="L197" s="9" t="str">
        <f t="shared" ref="L197" si="347">IF(H197,CONCATENATE("                        ",B197,C197,D197),"")</f>
        <v/>
      </c>
    </row>
    <row r="198" spans="1:12" hidden="1">
      <c r="A198" s="28">
        <f>LOOKUP(A197,INICIO!A$10:A$109,INICIO!C$10:C$109)</f>
        <v>30</v>
      </c>
      <c r="B198" s="31" t="str">
        <f>CONCATENATE(C$7,".",C197," = ")</f>
        <v xml:space="preserve"> _distribuicao. = </v>
      </c>
      <c r="C198" s="23" t="str">
        <f t="shared" ref="C198" si="348">SUBSTITUTE(E198,"???",CONCATENATE(F198,G198,H198))</f>
        <v>0</v>
      </c>
      <c r="D198" s="23" t="s">
        <v>73</v>
      </c>
      <c r="E198" s="26">
        <f>LOOKUP(PESQUISAR!A198,AJUSTE!B:B,AJUSTE!F:F)</f>
        <v>0</v>
      </c>
      <c r="F198" s="30" t="s">
        <v>99</v>
      </c>
      <c r="G198" s="26" t="str">
        <f t="shared" ref="G198" si="349">C197</f>
        <v/>
      </c>
      <c r="H198" s="32" t="s">
        <v>100</v>
      </c>
      <c r="K198" s="38">
        <f t="shared" si="222"/>
        <v>0</v>
      </c>
      <c r="L198" s="9" t="str">
        <f t="shared" ref="L198" si="350">IF(H197,CONCATENATE("                            ",B198,C198,D198),"")</f>
        <v/>
      </c>
    </row>
    <row r="199" spans="1:12" hidden="1">
      <c r="A199" s="24">
        <v>88</v>
      </c>
      <c r="B199" s="21" t="s">
        <v>94</v>
      </c>
      <c r="C199" s="25" t="str">
        <f>LOOKUP(A199,INICIO!A$10:A$109,INICIO!K$10:K$109)</f>
        <v/>
      </c>
      <c r="D199" s="22" t="s">
        <v>95</v>
      </c>
      <c r="E199" s="22"/>
      <c r="F199" s="22"/>
      <c r="G199" s="22"/>
      <c r="H199" s="34">
        <f>LOOKUP(A199,INICIO!A$10:A$109,INICIO!J$10:J$109)</f>
        <v>0</v>
      </c>
      <c r="K199" s="38">
        <f t="shared" ref="K199:K240" si="351">IF(L199&lt;&gt;"",1,0)</f>
        <v>0</v>
      </c>
      <c r="L199" s="9" t="str">
        <f t="shared" ref="L199" si="352">IF(H199,CONCATENATE("                        ",B199,C199,D199),"")</f>
        <v/>
      </c>
    </row>
    <row r="200" spans="1:12" hidden="1">
      <c r="A200" s="28">
        <f>LOOKUP(A199,INICIO!A$10:A$109,INICIO!C$10:C$109)</f>
        <v>30</v>
      </c>
      <c r="B200" s="31" t="str">
        <f>CONCATENATE(C$7,".",C199," = ")</f>
        <v xml:space="preserve"> _distribuicao. = </v>
      </c>
      <c r="C200" s="23" t="str">
        <f t="shared" ref="C200" si="353">SUBSTITUTE(E200,"???",CONCATENATE(F200,G200,H200))</f>
        <v>0</v>
      </c>
      <c r="D200" s="23" t="s">
        <v>73</v>
      </c>
      <c r="E200" s="26">
        <f>LOOKUP(PESQUISAR!A200,AJUSTE!B:B,AJUSTE!F:F)</f>
        <v>0</v>
      </c>
      <c r="F200" s="30" t="s">
        <v>99</v>
      </c>
      <c r="G200" s="26" t="str">
        <f t="shared" ref="G200" si="354">C199</f>
        <v/>
      </c>
      <c r="H200" s="32" t="s">
        <v>100</v>
      </c>
      <c r="K200" s="38">
        <f t="shared" si="351"/>
        <v>0</v>
      </c>
      <c r="L200" s="9" t="str">
        <f t="shared" ref="L200" si="355">IF(H199,CONCATENATE("                            ",B200,C200,D200),"")</f>
        <v/>
      </c>
    </row>
    <row r="201" spans="1:12" hidden="1">
      <c r="A201" s="24">
        <v>89</v>
      </c>
      <c r="B201" s="21" t="s">
        <v>94</v>
      </c>
      <c r="C201" s="25" t="str">
        <f>LOOKUP(A201,INICIO!A$10:A$109,INICIO!K$10:K$109)</f>
        <v/>
      </c>
      <c r="D201" s="22" t="s">
        <v>95</v>
      </c>
      <c r="E201" s="22"/>
      <c r="F201" s="22"/>
      <c r="G201" s="22"/>
      <c r="H201" s="34">
        <f>LOOKUP(A201,INICIO!A$10:A$109,INICIO!J$10:J$109)</f>
        <v>0</v>
      </c>
      <c r="K201" s="38">
        <f t="shared" si="351"/>
        <v>0</v>
      </c>
      <c r="L201" s="9" t="str">
        <f t="shared" ref="L201" si="356">IF(H201,CONCATENATE("                        ",B201,C201,D201),"")</f>
        <v/>
      </c>
    </row>
    <row r="202" spans="1:12" hidden="1">
      <c r="A202" s="28">
        <f>LOOKUP(A201,INICIO!A$10:A$109,INICIO!C$10:C$109)</f>
        <v>30</v>
      </c>
      <c r="B202" s="31" t="str">
        <f>CONCATENATE(C$7,".",C201," = ")</f>
        <v xml:space="preserve"> _distribuicao. = </v>
      </c>
      <c r="C202" s="23" t="str">
        <f t="shared" ref="C202" si="357">SUBSTITUTE(E202,"???",CONCATENATE(F202,G202,H202))</f>
        <v>0</v>
      </c>
      <c r="D202" s="23" t="s">
        <v>73</v>
      </c>
      <c r="E202" s="26">
        <f>LOOKUP(PESQUISAR!A202,AJUSTE!B:B,AJUSTE!F:F)</f>
        <v>0</v>
      </c>
      <c r="F202" s="30" t="s">
        <v>99</v>
      </c>
      <c r="G202" s="26" t="str">
        <f t="shared" ref="G202" si="358">C201</f>
        <v/>
      </c>
      <c r="H202" s="32" t="s">
        <v>100</v>
      </c>
      <c r="K202" s="38">
        <f t="shared" si="351"/>
        <v>0</v>
      </c>
      <c r="L202" s="9" t="str">
        <f t="shared" ref="L202" si="359">IF(H201,CONCATENATE("                            ",B202,C202,D202),"")</f>
        <v/>
      </c>
    </row>
    <row r="203" spans="1:12" hidden="1">
      <c r="A203" s="24">
        <v>90</v>
      </c>
      <c r="B203" s="21" t="s">
        <v>94</v>
      </c>
      <c r="C203" s="25" t="str">
        <f>LOOKUP(A203,INICIO!A$10:A$109,INICIO!K$10:K$109)</f>
        <v/>
      </c>
      <c r="D203" s="22" t="s">
        <v>95</v>
      </c>
      <c r="E203" s="22"/>
      <c r="F203" s="22"/>
      <c r="G203" s="22"/>
      <c r="H203" s="34">
        <f>LOOKUP(A203,INICIO!A$10:A$109,INICIO!J$10:J$109)</f>
        <v>0</v>
      </c>
      <c r="K203" s="38">
        <f t="shared" si="351"/>
        <v>0</v>
      </c>
      <c r="L203" s="9" t="str">
        <f t="shared" ref="L203" si="360">IF(H203,CONCATENATE("                        ",B203,C203,D203),"")</f>
        <v/>
      </c>
    </row>
    <row r="204" spans="1:12" hidden="1">
      <c r="A204" s="28">
        <f>LOOKUP(A203,INICIO!A$10:A$109,INICIO!C$10:C$109)</f>
        <v>30</v>
      </c>
      <c r="B204" s="31" t="str">
        <f>CONCATENATE(C$7,".",C203," = ")</f>
        <v xml:space="preserve"> _distribuicao. = </v>
      </c>
      <c r="C204" s="23" t="str">
        <f t="shared" ref="C204" si="361">SUBSTITUTE(E204,"???",CONCATENATE(F204,G204,H204))</f>
        <v>0</v>
      </c>
      <c r="D204" s="23" t="s">
        <v>73</v>
      </c>
      <c r="E204" s="26">
        <f>LOOKUP(PESQUISAR!A204,AJUSTE!B:B,AJUSTE!F:F)</f>
        <v>0</v>
      </c>
      <c r="F204" s="30" t="s">
        <v>99</v>
      </c>
      <c r="G204" s="26" t="str">
        <f t="shared" ref="G204" si="362">C203</f>
        <v/>
      </c>
      <c r="H204" s="32" t="s">
        <v>100</v>
      </c>
      <c r="K204" s="38">
        <f t="shared" si="351"/>
        <v>0</v>
      </c>
      <c r="L204" s="9" t="str">
        <f t="shared" ref="L204" si="363">IF(H203,CONCATENATE("                            ",B204,C204,D204),"")</f>
        <v/>
      </c>
    </row>
    <row r="205" spans="1:12" hidden="1">
      <c r="A205" s="24">
        <v>91</v>
      </c>
      <c r="B205" s="21" t="s">
        <v>94</v>
      </c>
      <c r="C205" s="25" t="str">
        <f>LOOKUP(A205,INICIO!A$10:A$109,INICIO!K$10:K$109)</f>
        <v/>
      </c>
      <c r="D205" s="22" t="s">
        <v>95</v>
      </c>
      <c r="E205" s="22"/>
      <c r="F205" s="22"/>
      <c r="G205" s="22"/>
      <c r="H205" s="34">
        <f>LOOKUP(A205,INICIO!A$10:A$109,INICIO!J$10:J$109)</f>
        <v>0</v>
      </c>
      <c r="K205" s="38">
        <f t="shared" si="351"/>
        <v>0</v>
      </c>
      <c r="L205" s="9" t="str">
        <f t="shared" ref="L205" si="364">IF(H205,CONCATENATE("                        ",B205,C205,D205),"")</f>
        <v/>
      </c>
    </row>
    <row r="206" spans="1:12" hidden="1">
      <c r="A206" s="28">
        <f>LOOKUP(A205,INICIO!A$10:A$109,INICIO!C$10:C$109)</f>
        <v>30</v>
      </c>
      <c r="B206" s="31" t="str">
        <f>CONCATENATE(C$7,".",C205," = ")</f>
        <v xml:space="preserve"> _distribuicao. = </v>
      </c>
      <c r="C206" s="23" t="str">
        <f t="shared" ref="C206" si="365">SUBSTITUTE(E206,"???",CONCATENATE(F206,G206,H206))</f>
        <v>0</v>
      </c>
      <c r="D206" s="23" t="s">
        <v>73</v>
      </c>
      <c r="E206" s="26">
        <f>LOOKUP(PESQUISAR!A206,AJUSTE!B:B,AJUSTE!F:F)</f>
        <v>0</v>
      </c>
      <c r="F206" s="30" t="s">
        <v>99</v>
      </c>
      <c r="G206" s="26" t="str">
        <f t="shared" ref="G206" si="366">C205</f>
        <v/>
      </c>
      <c r="H206" s="32" t="s">
        <v>100</v>
      </c>
      <c r="K206" s="38">
        <f t="shared" si="351"/>
        <v>0</v>
      </c>
      <c r="L206" s="9" t="str">
        <f t="shared" ref="L206" si="367">IF(H205,CONCATENATE("                            ",B206,C206,D206),"")</f>
        <v/>
      </c>
    </row>
    <row r="207" spans="1:12" hidden="1">
      <c r="A207" s="24">
        <v>92</v>
      </c>
      <c r="B207" s="21" t="s">
        <v>94</v>
      </c>
      <c r="C207" s="25" t="str">
        <f>LOOKUP(A207,INICIO!A$10:A$109,INICIO!K$10:K$109)</f>
        <v/>
      </c>
      <c r="D207" s="22" t="s">
        <v>95</v>
      </c>
      <c r="E207" s="22"/>
      <c r="F207" s="22"/>
      <c r="G207" s="22"/>
      <c r="H207" s="34">
        <f>LOOKUP(A207,INICIO!A$10:A$109,INICIO!J$10:J$109)</f>
        <v>0</v>
      </c>
      <c r="K207" s="38">
        <f t="shared" si="351"/>
        <v>0</v>
      </c>
      <c r="L207" s="9" t="str">
        <f t="shared" ref="L207" si="368">IF(H207,CONCATENATE("                        ",B207,C207,D207),"")</f>
        <v/>
      </c>
    </row>
    <row r="208" spans="1:12" hidden="1">
      <c r="A208" s="28">
        <f>LOOKUP(A207,INICIO!A$10:A$109,INICIO!C$10:C$109)</f>
        <v>30</v>
      </c>
      <c r="B208" s="31" t="str">
        <f>CONCATENATE(C$7,".",C207," = ")</f>
        <v xml:space="preserve"> _distribuicao. = </v>
      </c>
      <c r="C208" s="23" t="str">
        <f t="shared" ref="C208" si="369">SUBSTITUTE(E208,"???",CONCATENATE(F208,G208,H208))</f>
        <v>0</v>
      </c>
      <c r="D208" s="23" t="s">
        <v>73</v>
      </c>
      <c r="E208" s="26">
        <f>LOOKUP(PESQUISAR!A208,AJUSTE!B:B,AJUSTE!F:F)</f>
        <v>0</v>
      </c>
      <c r="F208" s="30" t="s">
        <v>99</v>
      </c>
      <c r="G208" s="26" t="str">
        <f t="shared" ref="G208" si="370">C207</f>
        <v/>
      </c>
      <c r="H208" s="32" t="s">
        <v>100</v>
      </c>
      <c r="K208" s="38">
        <f t="shared" si="351"/>
        <v>0</v>
      </c>
      <c r="L208" s="9" t="str">
        <f t="shared" ref="L208" si="371">IF(H207,CONCATENATE("                            ",B208,C208,D208),"")</f>
        <v/>
      </c>
    </row>
    <row r="209" spans="1:12" hidden="1">
      <c r="A209" s="24">
        <v>93</v>
      </c>
      <c r="B209" s="21" t="s">
        <v>94</v>
      </c>
      <c r="C209" s="25" t="str">
        <f>LOOKUP(A209,INICIO!A$10:A$109,INICIO!K$10:K$109)</f>
        <v/>
      </c>
      <c r="D209" s="22" t="s">
        <v>95</v>
      </c>
      <c r="E209" s="22"/>
      <c r="F209" s="22"/>
      <c r="G209" s="22"/>
      <c r="H209" s="34">
        <f>LOOKUP(A209,INICIO!A$10:A$109,INICIO!J$10:J$109)</f>
        <v>0</v>
      </c>
      <c r="K209" s="38">
        <f t="shared" si="351"/>
        <v>0</v>
      </c>
      <c r="L209" s="9" t="str">
        <f t="shared" ref="L209" si="372">IF(H209,CONCATENATE("                        ",B209,C209,D209),"")</f>
        <v/>
      </c>
    </row>
    <row r="210" spans="1:12" hidden="1">
      <c r="A210" s="28">
        <f>LOOKUP(A209,INICIO!A$10:A$109,INICIO!C$10:C$109)</f>
        <v>30</v>
      </c>
      <c r="B210" s="31" t="str">
        <f>CONCATENATE(C$7,".",C209," = ")</f>
        <v xml:space="preserve"> _distribuicao. = </v>
      </c>
      <c r="C210" s="23" t="str">
        <f t="shared" ref="C210" si="373">SUBSTITUTE(E210,"???",CONCATENATE(F210,G210,H210))</f>
        <v>0</v>
      </c>
      <c r="D210" s="23" t="s">
        <v>73</v>
      </c>
      <c r="E210" s="26">
        <f>LOOKUP(PESQUISAR!A210,AJUSTE!B:B,AJUSTE!F:F)</f>
        <v>0</v>
      </c>
      <c r="F210" s="30" t="s">
        <v>99</v>
      </c>
      <c r="G210" s="26" t="str">
        <f t="shared" ref="G210" si="374">C209</f>
        <v/>
      </c>
      <c r="H210" s="32" t="s">
        <v>100</v>
      </c>
      <c r="K210" s="38">
        <f t="shared" si="351"/>
        <v>0</v>
      </c>
      <c r="L210" s="9" t="str">
        <f t="shared" ref="L210" si="375">IF(H209,CONCATENATE("                            ",B210,C210,D210),"")</f>
        <v/>
      </c>
    </row>
    <row r="211" spans="1:12" hidden="1">
      <c r="A211" s="24">
        <v>94</v>
      </c>
      <c r="B211" s="21" t="s">
        <v>94</v>
      </c>
      <c r="C211" s="25" t="str">
        <f>LOOKUP(A211,INICIO!A$10:A$109,INICIO!K$10:K$109)</f>
        <v/>
      </c>
      <c r="D211" s="22" t="s">
        <v>95</v>
      </c>
      <c r="E211" s="22"/>
      <c r="F211" s="22"/>
      <c r="G211" s="22"/>
      <c r="H211" s="34">
        <f>LOOKUP(A211,INICIO!A$10:A$109,INICIO!J$10:J$109)</f>
        <v>0</v>
      </c>
      <c r="K211" s="38">
        <f t="shared" si="351"/>
        <v>0</v>
      </c>
      <c r="L211" s="9" t="str">
        <f t="shared" ref="L211" si="376">IF(H211,CONCATENATE("                        ",B211,C211,D211),"")</f>
        <v/>
      </c>
    </row>
    <row r="212" spans="1:12" hidden="1">
      <c r="A212" s="28">
        <f>LOOKUP(A211,INICIO!A$10:A$109,INICIO!C$10:C$109)</f>
        <v>30</v>
      </c>
      <c r="B212" s="31" t="str">
        <f>CONCATENATE(C$7,".",C211," = ")</f>
        <v xml:space="preserve"> _distribuicao. = </v>
      </c>
      <c r="C212" s="23" t="str">
        <f t="shared" ref="C212" si="377">SUBSTITUTE(E212,"???",CONCATENATE(F212,G212,H212))</f>
        <v>0</v>
      </c>
      <c r="D212" s="23" t="s">
        <v>73</v>
      </c>
      <c r="E212" s="26">
        <f>LOOKUP(PESQUISAR!A212,AJUSTE!B:B,AJUSTE!F:F)</f>
        <v>0</v>
      </c>
      <c r="F212" s="30" t="s">
        <v>99</v>
      </c>
      <c r="G212" s="26" t="str">
        <f t="shared" ref="G212" si="378">C211</f>
        <v/>
      </c>
      <c r="H212" s="32" t="s">
        <v>100</v>
      </c>
      <c r="K212" s="38">
        <f t="shared" si="351"/>
        <v>0</v>
      </c>
      <c r="L212" s="9" t="str">
        <f t="shared" ref="L212" si="379">IF(H211,CONCATENATE("                            ",B212,C212,D212),"")</f>
        <v/>
      </c>
    </row>
    <row r="213" spans="1:12" hidden="1">
      <c r="A213" s="24">
        <v>95</v>
      </c>
      <c r="B213" s="21" t="s">
        <v>94</v>
      </c>
      <c r="C213" s="25" t="str">
        <f>LOOKUP(A213,INICIO!A$10:A$109,INICIO!K$10:K$109)</f>
        <v/>
      </c>
      <c r="D213" s="22" t="s">
        <v>95</v>
      </c>
      <c r="E213" s="22"/>
      <c r="F213" s="22"/>
      <c r="G213" s="22"/>
      <c r="H213" s="34">
        <f>LOOKUP(A213,INICIO!A$10:A$109,INICIO!J$10:J$109)</f>
        <v>0</v>
      </c>
      <c r="K213" s="38">
        <f t="shared" si="351"/>
        <v>0</v>
      </c>
      <c r="L213" s="9" t="str">
        <f t="shared" ref="L213" si="380">IF(H213,CONCATENATE("                        ",B213,C213,D213),"")</f>
        <v/>
      </c>
    </row>
    <row r="214" spans="1:12" hidden="1">
      <c r="A214" s="28">
        <f>LOOKUP(A213,INICIO!A$10:A$109,INICIO!C$10:C$109)</f>
        <v>30</v>
      </c>
      <c r="B214" s="31" t="str">
        <f>CONCATENATE(C$7,".",C213," = ")</f>
        <v xml:space="preserve"> _distribuicao. = </v>
      </c>
      <c r="C214" s="23" t="str">
        <f t="shared" ref="C214" si="381">SUBSTITUTE(E214,"???",CONCATENATE(F214,G214,H214))</f>
        <v>0</v>
      </c>
      <c r="D214" s="23" t="s">
        <v>73</v>
      </c>
      <c r="E214" s="26">
        <f>LOOKUP(PESQUISAR!A214,AJUSTE!B:B,AJUSTE!F:F)</f>
        <v>0</v>
      </c>
      <c r="F214" s="30" t="s">
        <v>99</v>
      </c>
      <c r="G214" s="26" t="str">
        <f t="shared" ref="G214" si="382">C213</f>
        <v/>
      </c>
      <c r="H214" s="32" t="s">
        <v>100</v>
      </c>
      <c r="K214" s="38">
        <f t="shared" si="351"/>
        <v>0</v>
      </c>
      <c r="L214" s="9" t="str">
        <f t="shared" ref="L214" si="383">IF(H213,CONCATENATE("                            ",B214,C214,D214),"")</f>
        <v/>
      </c>
    </row>
    <row r="215" spans="1:12" hidden="1">
      <c r="A215" s="24">
        <v>96</v>
      </c>
      <c r="B215" s="21" t="s">
        <v>94</v>
      </c>
      <c r="C215" s="25" t="str">
        <f>LOOKUP(A215,INICIO!A$10:A$109,INICIO!K$10:K$109)</f>
        <v/>
      </c>
      <c r="D215" s="22" t="s">
        <v>95</v>
      </c>
      <c r="E215" s="22"/>
      <c r="F215" s="22"/>
      <c r="G215" s="22"/>
      <c r="H215" s="34">
        <f>LOOKUP(A215,INICIO!A$10:A$109,INICIO!J$10:J$109)</f>
        <v>0</v>
      </c>
      <c r="K215" s="38">
        <f t="shared" si="351"/>
        <v>0</v>
      </c>
      <c r="L215" s="9" t="str">
        <f t="shared" ref="L215" si="384">IF(H215,CONCATENATE("                        ",B215,C215,D215),"")</f>
        <v/>
      </c>
    </row>
    <row r="216" spans="1:12" hidden="1">
      <c r="A216" s="28">
        <f>LOOKUP(A215,INICIO!A$10:A$109,INICIO!C$10:C$109)</f>
        <v>30</v>
      </c>
      <c r="B216" s="31" t="str">
        <f>CONCATENATE(C$7,".",C215," = ")</f>
        <v xml:space="preserve"> _distribuicao. = </v>
      </c>
      <c r="C216" s="23" t="str">
        <f t="shared" ref="C216" si="385">SUBSTITUTE(E216,"???",CONCATENATE(F216,G216,H216))</f>
        <v>0</v>
      </c>
      <c r="D216" s="23" t="s">
        <v>73</v>
      </c>
      <c r="E216" s="26">
        <f>LOOKUP(PESQUISAR!A216,AJUSTE!B:B,AJUSTE!F:F)</f>
        <v>0</v>
      </c>
      <c r="F216" s="30" t="s">
        <v>99</v>
      </c>
      <c r="G216" s="26" t="str">
        <f t="shared" ref="G216" si="386">C215</f>
        <v/>
      </c>
      <c r="H216" s="32" t="s">
        <v>100</v>
      </c>
      <c r="K216" s="38">
        <f t="shared" si="351"/>
        <v>0</v>
      </c>
      <c r="L216" s="9" t="str">
        <f t="shared" ref="L216" si="387">IF(H215,CONCATENATE("                            ",B216,C216,D216),"")</f>
        <v/>
      </c>
    </row>
    <row r="217" spans="1:12" hidden="1">
      <c r="A217" s="24">
        <v>97</v>
      </c>
      <c r="B217" s="21" t="s">
        <v>94</v>
      </c>
      <c r="C217" s="25" t="str">
        <f>LOOKUP(A217,INICIO!A$10:A$109,INICIO!K$10:K$109)</f>
        <v/>
      </c>
      <c r="D217" s="22" t="s">
        <v>95</v>
      </c>
      <c r="E217" s="22"/>
      <c r="F217" s="22"/>
      <c r="G217" s="22"/>
      <c r="H217" s="34">
        <f>LOOKUP(A217,INICIO!A$10:A$109,INICIO!J$10:J$109)</f>
        <v>0</v>
      </c>
      <c r="K217" s="38">
        <f t="shared" si="351"/>
        <v>0</v>
      </c>
      <c r="L217" s="9" t="str">
        <f t="shared" ref="L217" si="388">IF(H217,CONCATENATE("                        ",B217,C217,D217),"")</f>
        <v/>
      </c>
    </row>
    <row r="218" spans="1:12" hidden="1">
      <c r="A218" s="28">
        <f>LOOKUP(A217,INICIO!A$10:A$109,INICIO!C$10:C$109)</f>
        <v>30</v>
      </c>
      <c r="B218" s="31" t="str">
        <f>CONCATENATE(C$7,".",C217," = ")</f>
        <v xml:space="preserve"> _distribuicao. = </v>
      </c>
      <c r="C218" s="23" t="str">
        <f t="shared" ref="C218" si="389">SUBSTITUTE(E218,"???",CONCATENATE(F218,G218,H218))</f>
        <v>0</v>
      </c>
      <c r="D218" s="23" t="s">
        <v>73</v>
      </c>
      <c r="E218" s="26">
        <f>LOOKUP(PESQUISAR!A218,AJUSTE!B:B,AJUSTE!F:F)</f>
        <v>0</v>
      </c>
      <c r="F218" s="30" t="s">
        <v>99</v>
      </c>
      <c r="G218" s="26" t="str">
        <f t="shared" ref="G218" si="390">C217</f>
        <v/>
      </c>
      <c r="H218" s="32" t="s">
        <v>100</v>
      </c>
      <c r="K218" s="38">
        <f t="shared" si="351"/>
        <v>0</v>
      </c>
      <c r="L218" s="9" t="str">
        <f t="shared" ref="L218" si="391">IF(H217,CONCATENATE("                            ",B218,C218,D218),"")</f>
        <v/>
      </c>
    </row>
    <row r="219" spans="1:12" hidden="1">
      <c r="A219" s="24">
        <v>98</v>
      </c>
      <c r="B219" s="21" t="s">
        <v>94</v>
      </c>
      <c r="C219" s="25" t="str">
        <f>LOOKUP(A219,INICIO!A$10:A$109,INICIO!K$10:K$109)</f>
        <v/>
      </c>
      <c r="D219" s="22" t="s">
        <v>95</v>
      </c>
      <c r="E219" s="22"/>
      <c r="F219" s="22"/>
      <c r="G219" s="22"/>
      <c r="H219" s="34">
        <f>LOOKUP(A219,INICIO!A$10:A$109,INICIO!J$10:J$109)</f>
        <v>0</v>
      </c>
      <c r="K219" s="38">
        <f t="shared" si="351"/>
        <v>0</v>
      </c>
      <c r="L219" s="9" t="str">
        <f t="shared" ref="L219" si="392">IF(H219,CONCATENATE("                        ",B219,C219,D219),"")</f>
        <v/>
      </c>
    </row>
    <row r="220" spans="1:12" hidden="1">
      <c r="A220" s="28">
        <f>LOOKUP(A219,INICIO!A$10:A$109,INICIO!C$10:C$109)</f>
        <v>30</v>
      </c>
      <c r="B220" s="31" t="str">
        <f>CONCATENATE(C$7,".",C219," = ")</f>
        <v xml:space="preserve"> _distribuicao. = </v>
      </c>
      <c r="C220" s="23" t="str">
        <f t="shared" ref="C220" si="393">SUBSTITUTE(E220,"???",CONCATENATE(F220,G220,H220))</f>
        <v>0</v>
      </c>
      <c r="D220" s="23" t="s">
        <v>73</v>
      </c>
      <c r="E220" s="26">
        <f>LOOKUP(PESQUISAR!A220,AJUSTE!B:B,AJUSTE!F:F)</f>
        <v>0</v>
      </c>
      <c r="F220" s="30" t="s">
        <v>99</v>
      </c>
      <c r="G220" s="26" t="str">
        <f t="shared" ref="G220" si="394">C219</f>
        <v/>
      </c>
      <c r="H220" s="32" t="s">
        <v>100</v>
      </c>
      <c r="K220" s="38">
        <f t="shared" si="351"/>
        <v>0</v>
      </c>
      <c r="L220" s="9" t="str">
        <f t="shared" ref="L220" si="395">IF(H219,CONCATENATE("                            ",B220,C220,D220),"")</f>
        <v/>
      </c>
    </row>
    <row r="221" spans="1:12" hidden="1">
      <c r="A221" s="24">
        <v>99</v>
      </c>
      <c r="B221" s="21" t="s">
        <v>94</v>
      </c>
      <c r="C221" s="25" t="str">
        <f>LOOKUP(A221,INICIO!A$10:A$109,INICIO!K$10:K$109)</f>
        <v/>
      </c>
      <c r="D221" s="22" t="s">
        <v>95</v>
      </c>
      <c r="E221" s="22"/>
      <c r="F221" s="22"/>
      <c r="G221" s="22"/>
      <c r="H221" s="34">
        <f>LOOKUP(A221,INICIO!A$10:A$109,INICIO!J$10:J$109)</f>
        <v>0</v>
      </c>
      <c r="K221" s="38">
        <f t="shared" si="351"/>
        <v>0</v>
      </c>
      <c r="L221" s="9" t="str">
        <f t="shared" ref="L221" si="396">IF(H221,CONCATENATE("                        ",B221,C221,D221),"")</f>
        <v/>
      </c>
    </row>
    <row r="222" spans="1:12" hidden="1">
      <c r="A222" s="28">
        <f>LOOKUP(A221,INICIO!A$10:A$109,INICIO!C$10:C$109)</f>
        <v>30</v>
      </c>
      <c r="B222" s="31" t="str">
        <f>CONCATENATE(C$7,".",C221," = ")</f>
        <v xml:space="preserve"> _distribuicao. = </v>
      </c>
      <c r="C222" s="23" t="str">
        <f t="shared" ref="C222" si="397">SUBSTITUTE(E222,"???",CONCATENATE(F222,G222,H222))</f>
        <v>0</v>
      </c>
      <c r="D222" s="23" t="s">
        <v>73</v>
      </c>
      <c r="E222" s="26">
        <f>LOOKUP(PESQUISAR!A222,AJUSTE!B:B,AJUSTE!F:F)</f>
        <v>0</v>
      </c>
      <c r="F222" s="30" t="s">
        <v>99</v>
      </c>
      <c r="G222" s="26" t="str">
        <f t="shared" ref="G222" si="398">C221</f>
        <v/>
      </c>
      <c r="H222" s="32" t="s">
        <v>100</v>
      </c>
      <c r="K222" s="38">
        <f t="shared" si="351"/>
        <v>0</v>
      </c>
      <c r="L222" s="9" t="str">
        <f t="shared" ref="L222" si="399">IF(H221,CONCATENATE("                            ",B222,C222,D222),"")</f>
        <v/>
      </c>
    </row>
    <row r="223" spans="1:12" hidden="1">
      <c r="A223" s="24">
        <v>100</v>
      </c>
      <c r="B223" s="21" t="s">
        <v>94</v>
      </c>
      <c r="C223" s="25" t="str">
        <f>LOOKUP(A223,INICIO!A$10:A$109,INICIO!K$10:K$109)</f>
        <v/>
      </c>
      <c r="D223" s="22" t="s">
        <v>95</v>
      </c>
      <c r="E223" s="22"/>
      <c r="F223" s="22"/>
      <c r="G223" s="22"/>
      <c r="H223" s="34">
        <f>LOOKUP(A223,INICIO!A$10:A$109,INICIO!J$10:J$109)</f>
        <v>0</v>
      </c>
      <c r="K223" s="38">
        <f t="shared" si="351"/>
        <v>0</v>
      </c>
      <c r="L223" s="9" t="str">
        <f t="shared" ref="L223" si="400">IF(H223,CONCATENATE("                        ",B223,C223,D223),"")</f>
        <v/>
      </c>
    </row>
    <row r="224" spans="1:12" hidden="1">
      <c r="A224" s="28">
        <f>LOOKUP(A223,INICIO!A$10:A$109,INICIO!C$10:C$109)</f>
        <v>30</v>
      </c>
      <c r="B224" s="31" t="str">
        <f>CONCATENATE(C$7,".",C223," = ")</f>
        <v xml:space="preserve"> _distribuicao. = </v>
      </c>
      <c r="C224" s="23" t="str">
        <f t="shared" ref="C224" si="401">SUBSTITUTE(E224,"???",CONCATENATE(F224,G224,H224))</f>
        <v>0</v>
      </c>
      <c r="D224" s="23" t="s">
        <v>73</v>
      </c>
      <c r="E224" s="26">
        <f>LOOKUP(PESQUISAR!A224,AJUSTE!B:B,AJUSTE!F:F)</f>
        <v>0</v>
      </c>
      <c r="F224" s="30" t="s">
        <v>99</v>
      </c>
      <c r="G224" s="26" t="str">
        <f t="shared" ref="G224" si="402">C223</f>
        <v/>
      </c>
      <c r="H224" s="32" t="s">
        <v>100</v>
      </c>
      <c r="K224" s="38">
        <f t="shared" si="351"/>
        <v>0</v>
      </c>
      <c r="L224" s="9" t="str">
        <f t="shared" ref="L224" si="403">IF(H223,CONCATENATE("                            ",B224,C224,D224),"")</f>
        <v/>
      </c>
    </row>
    <row r="225" spans="1:12" hidden="1">
      <c r="A225" s="24">
        <v>101</v>
      </c>
      <c r="B225" s="21" t="s">
        <v>94</v>
      </c>
      <c r="C225" s="25" t="str">
        <f>LOOKUP(A225,INICIO!A$10:A$109,INICIO!K$10:K$109)</f>
        <v/>
      </c>
      <c r="D225" s="22" t="s">
        <v>95</v>
      </c>
      <c r="E225" s="22"/>
      <c r="F225" s="22"/>
      <c r="G225" s="22"/>
      <c r="H225" s="34">
        <f>LOOKUP(A225,INICIO!A$10:A$109,INICIO!J$10:J$109)</f>
        <v>0</v>
      </c>
      <c r="K225" s="38">
        <f t="shared" si="351"/>
        <v>0</v>
      </c>
      <c r="L225" s="9" t="str">
        <f t="shared" ref="L225" si="404">IF(H225,CONCATENATE("                        ",B225,C225,D225),"")</f>
        <v/>
      </c>
    </row>
    <row r="226" spans="1:12" hidden="1">
      <c r="A226" s="28">
        <f>LOOKUP(A225,INICIO!A$10:A$109,INICIO!C$10:C$109)</f>
        <v>30</v>
      </c>
      <c r="B226" s="31" t="str">
        <f>CONCATENATE(C$7,".",C225," = ")</f>
        <v xml:space="preserve"> _distribuicao. = </v>
      </c>
      <c r="C226" s="23" t="str">
        <f t="shared" ref="C226" si="405">SUBSTITUTE(E226,"???",CONCATENATE(F226,G226,H226))</f>
        <v>0</v>
      </c>
      <c r="D226" s="23" t="s">
        <v>73</v>
      </c>
      <c r="E226" s="26">
        <f>LOOKUP(PESQUISAR!A226,AJUSTE!B:B,AJUSTE!F:F)</f>
        <v>0</v>
      </c>
      <c r="F226" s="30" t="s">
        <v>99</v>
      </c>
      <c r="G226" s="26" t="str">
        <f t="shared" ref="G226" si="406">C225</f>
        <v/>
      </c>
      <c r="H226" s="32" t="s">
        <v>100</v>
      </c>
      <c r="K226" s="38">
        <f t="shared" si="351"/>
        <v>0</v>
      </c>
      <c r="L226" s="9" t="str">
        <f t="shared" ref="L226" si="407">IF(H225,CONCATENATE("                            ",B226,C226,D226),"")</f>
        <v/>
      </c>
    </row>
    <row r="227" spans="1:12">
      <c r="A227" s="33"/>
      <c r="B227" s="33" t="s">
        <v>123</v>
      </c>
      <c r="C227" s="33"/>
      <c r="D227" s="33"/>
      <c r="E227" s="33"/>
      <c r="F227" s="33"/>
      <c r="G227" s="33"/>
      <c r="H227" s="33"/>
      <c r="K227" s="38">
        <f t="shared" si="351"/>
        <v>1</v>
      </c>
      <c r="L227" s="9" t="str">
        <f>CONCATENATE("                        ",B227,C227,D227,E227,F227)</f>
        <v xml:space="preserve">                        // Fim das Propriedades</v>
      </c>
    </row>
    <row r="228" spans="1:12" hidden="1">
      <c r="A228" s="7"/>
      <c r="B228" s="7" t="str">
        <f>D18</f>
        <v>ListadeDistribuicao</v>
      </c>
      <c r="C228" s="7" t="s">
        <v>97</v>
      </c>
      <c r="D228" s="7" t="str">
        <f>C7</f>
        <v xml:space="preserve"> _distribuicao</v>
      </c>
      <c r="E228" s="7" t="s">
        <v>1</v>
      </c>
      <c r="F228" s="7"/>
      <c r="G228" s="7"/>
      <c r="H228" s="7"/>
      <c r="I228" s="7"/>
      <c r="J228" s="7"/>
      <c r="K228" s="110">
        <f t="shared" si="351"/>
        <v>0</v>
      </c>
      <c r="L228" s="109"/>
    </row>
    <row r="229" spans="1:12">
      <c r="B229" t="s">
        <v>72</v>
      </c>
      <c r="K229" s="38">
        <f t="shared" si="351"/>
        <v>1</v>
      </c>
      <c r="L229" s="9" t="str">
        <f>CONCATENATE("                        ",B229,C229,D229,E229,F229)</f>
        <v xml:space="preserve">                        }</v>
      </c>
    </row>
    <row r="230" spans="1:12">
      <c r="B230" t="s">
        <v>98</v>
      </c>
      <c r="C230" t="str">
        <f>C7</f>
        <v xml:space="preserve"> _distribuicao</v>
      </c>
      <c r="D230" t="s">
        <v>73</v>
      </c>
      <c r="K230" s="38">
        <f t="shared" si="351"/>
        <v>1</v>
      </c>
      <c r="L230" s="9" t="str">
        <f>CONCATENATE("                    ",B230,C230,D230,E230,F230)</f>
        <v xml:space="preserve">                    return  _distribuicao;</v>
      </c>
    </row>
    <row r="231" spans="1:12">
      <c r="B231" t="s">
        <v>72</v>
      </c>
      <c r="K231" s="38">
        <f t="shared" si="351"/>
        <v>1</v>
      </c>
      <c r="L231" s="9" t="str">
        <f>CONCATENATE("                    ",B231,C231,D231,E231,F231)</f>
        <v xml:space="preserve">                    }</v>
      </c>
    </row>
    <row r="232" spans="1:12">
      <c r="B232" t="s">
        <v>83</v>
      </c>
      <c r="K232" s="38">
        <f t="shared" si="351"/>
        <v>1</v>
      </c>
      <c r="L232" s="9" t="str">
        <f t="shared" ref="L232:L240" si="408">CONCATENATE(B232,C232,D232,E232,F232)</f>
        <v xml:space="preserve">                return null;</v>
      </c>
    </row>
    <row r="233" spans="1:12">
      <c r="B233" t="s">
        <v>12</v>
      </c>
      <c r="K233" s="38">
        <f t="shared" si="351"/>
        <v>1</v>
      </c>
      <c r="L233" s="9" t="str">
        <f t="shared" si="408"/>
        <v xml:space="preserve">            }</v>
      </c>
    </row>
    <row r="234" spans="1:12">
      <c r="B234" t="s">
        <v>84</v>
      </c>
      <c r="K234" s="38">
        <f t="shared" si="351"/>
        <v>1</v>
      </c>
      <c r="L234" s="9" t="str">
        <f t="shared" si="408"/>
        <v xml:space="preserve">            catch (Exception)</v>
      </c>
    </row>
    <row r="235" spans="1:12">
      <c r="B235" t="s">
        <v>11</v>
      </c>
      <c r="K235" s="38">
        <f t="shared" si="351"/>
        <v>1</v>
      </c>
      <c r="L235" s="9" t="str">
        <f t="shared" si="408"/>
        <v xml:space="preserve">            {</v>
      </c>
    </row>
    <row r="236" spans="1:12">
      <c r="B236" t="s">
        <v>159</v>
      </c>
      <c r="C236" t="str">
        <f>C230</f>
        <v xml:space="preserve"> _distribuicao</v>
      </c>
      <c r="D236" t="s">
        <v>73</v>
      </c>
      <c r="K236" s="38">
        <f t="shared" si="351"/>
        <v>1</v>
      </c>
      <c r="L236" s="9" t="str">
        <f t="shared" si="408"/>
        <v xml:space="preserve">                return _distribuicao;</v>
      </c>
    </row>
    <row r="237" spans="1:12">
      <c r="B237" t="s">
        <v>12</v>
      </c>
      <c r="K237" s="38">
        <f t="shared" si="351"/>
        <v>1</v>
      </c>
      <c r="L237" s="9" t="str">
        <f t="shared" si="408"/>
        <v xml:space="preserve">            }</v>
      </c>
    </row>
    <row r="238" spans="1:12">
      <c r="B238" t="s">
        <v>122</v>
      </c>
      <c r="K238" s="38">
        <f t="shared" si="351"/>
        <v>1</v>
      </c>
      <c r="L238" s="9" t="str">
        <f t="shared" si="408"/>
        <v xml:space="preserve">    </v>
      </c>
    </row>
    <row r="239" spans="1:12">
      <c r="B239" t="s">
        <v>71</v>
      </c>
      <c r="K239" s="38">
        <f t="shared" si="351"/>
        <v>1</v>
      </c>
      <c r="L239" s="9" t="str">
        <f t="shared" si="408"/>
        <v xml:space="preserve">        }</v>
      </c>
    </row>
    <row r="240" spans="1:12">
      <c r="B240" t="s">
        <v>120</v>
      </c>
      <c r="K240" s="38">
        <f t="shared" si="351"/>
        <v>1</v>
      </c>
      <c r="L240" s="9" t="str">
        <f t="shared" si="408"/>
        <v xml:space="preserve">  </v>
      </c>
    </row>
  </sheetData>
  <sheetProtection sheet="1" objects="1" scenarios="1"/>
  <autoFilter ref="K4:L240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>
      <c r="B1" s="11" t="s">
        <v>38</v>
      </c>
      <c r="C1" s="11" t="s">
        <v>6</v>
      </c>
      <c r="D1" s="11" t="s">
        <v>7</v>
      </c>
      <c r="E1" s="11" t="s">
        <v>5</v>
      </c>
      <c r="F1" s="29" t="s">
        <v>150</v>
      </c>
      <c r="G1" s="29" t="s">
        <v>151</v>
      </c>
    </row>
    <row r="2" spans="2:10">
      <c r="B2" s="10">
        <v>1</v>
      </c>
      <c r="C2" s="12" t="s">
        <v>8</v>
      </c>
      <c r="D2" s="12" t="s">
        <v>43</v>
      </c>
      <c r="E2" s="12" t="s">
        <v>2</v>
      </c>
      <c r="F2" s="12" t="s">
        <v>105</v>
      </c>
      <c r="G2" s="12"/>
    </row>
    <row r="3" spans="2:10">
      <c r="B3" s="10">
        <v>2</v>
      </c>
      <c r="C3" s="12" t="s">
        <v>39</v>
      </c>
      <c r="D3" s="12" t="s">
        <v>45</v>
      </c>
      <c r="E3" s="12" t="s">
        <v>42</v>
      </c>
      <c r="F3" s="12" t="s">
        <v>102</v>
      </c>
      <c r="G3" s="12"/>
    </row>
    <row r="4" spans="2:10">
      <c r="B4" s="10">
        <v>3</v>
      </c>
      <c r="C4" s="12" t="s">
        <v>40</v>
      </c>
      <c r="D4" s="12" t="s">
        <v>44</v>
      </c>
      <c r="E4" s="12" t="s">
        <v>47</v>
      </c>
      <c r="F4" s="12" t="s">
        <v>103</v>
      </c>
      <c r="G4" s="12"/>
    </row>
    <row r="5" spans="2:10">
      <c r="B5" s="10">
        <v>4</v>
      </c>
      <c r="C5" s="12" t="s">
        <v>41</v>
      </c>
      <c r="D5" s="12" t="s">
        <v>46</v>
      </c>
      <c r="E5" s="12" t="s">
        <v>3</v>
      </c>
      <c r="F5" s="12" t="s">
        <v>101</v>
      </c>
      <c r="G5" s="12"/>
    </row>
    <row r="6" spans="2:10">
      <c r="B6" s="10">
        <v>5</v>
      </c>
      <c r="C6" s="12" t="s">
        <v>58</v>
      </c>
      <c r="D6" s="12" t="s">
        <v>57</v>
      </c>
      <c r="E6" s="12" t="s">
        <v>79</v>
      </c>
      <c r="F6" s="12"/>
      <c r="G6" s="12"/>
    </row>
    <row r="7" spans="2:10">
      <c r="B7" s="10">
        <v>6</v>
      </c>
      <c r="C7" s="12" t="s">
        <v>61</v>
      </c>
      <c r="D7" s="12" t="s">
        <v>62</v>
      </c>
      <c r="E7" s="12" t="s">
        <v>77</v>
      </c>
      <c r="F7" s="12" t="s">
        <v>104</v>
      </c>
      <c r="G7" s="12"/>
    </row>
    <row r="8" spans="2:10">
      <c r="B8" s="10">
        <v>7</v>
      </c>
      <c r="C8" s="12" t="s">
        <v>59</v>
      </c>
      <c r="D8" s="12" t="s">
        <v>63</v>
      </c>
      <c r="E8" s="12" t="s">
        <v>77</v>
      </c>
      <c r="F8" s="12" t="s">
        <v>104</v>
      </c>
      <c r="G8" s="12"/>
    </row>
    <row r="9" spans="2:10">
      <c r="B9" s="10">
        <v>8</v>
      </c>
      <c r="C9" s="12" t="s">
        <v>60</v>
      </c>
      <c r="D9" s="12" t="s">
        <v>64</v>
      </c>
      <c r="E9" s="12" t="s">
        <v>77</v>
      </c>
      <c r="F9" s="12" t="s">
        <v>104</v>
      </c>
      <c r="G9" s="12"/>
    </row>
    <row r="10" spans="2:10">
      <c r="B10" s="10">
        <v>9</v>
      </c>
      <c r="C10" s="12"/>
      <c r="D10" s="12"/>
      <c r="E10" s="12"/>
      <c r="F10" s="12"/>
      <c r="G10" s="12"/>
      <c r="J10">
        <v>30</v>
      </c>
    </row>
    <row r="11" spans="2:10">
      <c r="B11" s="10">
        <v>10</v>
      </c>
      <c r="C11" s="12"/>
      <c r="D11" s="12"/>
      <c r="E11" s="12"/>
      <c r="F11" s="12"/>
      <c r="G11" s="12"/>
    </row>
    <row r="12" spans="2:10">
      <c r="B12" s="10">
        <v>11</v>
      </c>
      <c r="C12" s="12"/>
      <c r="D12" s="12"/>
      <c r="E12" s="12"/>
      <c r="F12" s="12"/>
      <c r="G12" s="12"/>
    </row>
    <row r="13" spans="2:10">
      <c r="B13" s="10">
        <v>12</v>
      </c>
      <c r="C13" s="12"/>
      <c r="D13" s="12"/>
      <c r="E13" s="12"/>
      <c r="F13" s="12"/>
      <c r="G13" s="12"/>
    </row>
    <row r="14" spans="2:10">
      <c r="B14" s="10">
        <v>13</v>
      </c>
      <c r="C14" s="12"/>
      <c r="D14" s="12"/>
      <c r="E14" s="12"/>
      <c r="F14" s="12"/>
      <c r="G14" s="12"/>
    </row>
    <row r="15" spans="2:10">
      <c r="B15" s="10">
        <v>14</v>
      </c>
      <c r="C15" s="12"/>
      <c r="D15" s="12"/>
      <c r="E15" s="12"/>
      <c r="F15" s="12"/>
      <c r="G15" s="12"/>
    </row>
    <row r="16" spans="2:10">
      <c r="B16" s="10">
        <v>15</v>
      </c>
      <c r="C16" s="12"/>
      <c r="D16" s="12"/>
      <c r="E16" s="12"/>
      <c r="F16" s="12"/>
      <c r="G16" s="12"/>
    </row>
    <row r="17" spans="2:7">
      <c r="B17" s="10">
        <v>16</v>
      </c>
      <c r="C17" s="12"/>
      <c r="D17" s="12"/>
      <c r="E17" s="12"/>
      <c r="F17" s="12"/>
      <c r="G17" s="12"/>
    </row>
    <row r="18" spans="2:7">
      <c r="B18" s="10">
        <v>17</v>
      </c>
      <c r="C18" s="12"/>
      <c r="D18" s="12"/>
      <c r="E18" s="12"/>
      <c r="F18" s="12"/>
      <c r="G18" s="12"/>
    </row>
    <row r="19" spans="2:7">
      <c r="B19" s="10">
        <v>18</v>
      </c>
      <c r="C19" s="12"/>
      <c r="D19" s="12"/>
      <c r="E19" s="12"/>
      <c r="F19" s="12"/>
      <c r="G19" s="12"/>
    </row>
    <row r="20" spans="2:7">
      <c r="B20" s="10">
        <v>19</v>
      </c>
      <c r="C20" s="12"/>
      <c r="D20" s="12"/>
      <c r="E20" s="12"/>
      <c r="F20" s="12"/>
      <c r="G20" s="12"/>
    </row>
    <row r="21" spans="2:7">
      <c r="B21" s="10">
        <v>20</v>
      </c>
      <c r="C21" s="12"/>
      <c r="D21" s="12"/>
      <c r="E21" s="12"/>
      <c r="F21" s="12"/>
      <c r="G21" s="12"/>
    </row>
    <row r="22" spans="2:7">
      <c r="B22" s="10">
        <v>21</v>
      </c>
      <c r="C22" s="12"/>
      <c r="D22" s="12"/>
      <c r="E22" s="12"/>
      <c r="F22" s="12"/>
      <c r="G22" s="12"/>
    </row>
    <row r="23" spans="2:7">
      <c r="B23" s="10">
        <v>22</v>
      </c>
      <c r="C23" s="12"/>
      <c r="D23" s="12"/>
      <c r="E23" s="12"/>
      <c r="F23" s="12"/>
      <c r="G23" s="12"/>
    </row>
    <row r="24" spans="2:7">
      <c r="B24" s="10">
        <v>23</v>
      </c>
      <c r="C24" s="12"/>
      <c r="D24" s="12"/>
      <c r="E24" s="12"/>
      <c r="F24" s="12"/>
      <c r="G24" s="12"/>
    </row>
    <row r="25" spans="2:7">
      <c r="B25" s="10">
        <v>24</v>
      </c>
      <c r="C25" s="12"/>
      <c r="D25" s="12"/>
      <c r="E25" s="12"/>
      <c r="F25" s="12"/>
      <c r="G25" s="12"/>
    </row>
    <row r="26" spans="2:7">
      <c r="B26" s="10">
        <v>25</v>
      </c>
      <c r="C26" s="12"/>
      <c r="D26" s="12"/>
      <c r="E26" s="12"/>
      <c r="F26" s="12"/>
      <c r="G26" s="12"/>
    </row>
    <row r="27" spans="2:7">
      <c r="B27" s="10">
        <v>26</v>
      </c>
      <c r="C27" s="12"/>
      <c r="D27" s="12"/>
      <c r="E27" s="12"/>
      <c r="F27" s="12"/>
      <c r="G27" s="12"/>
    </row>
    <row r="28" spans="2:7">
      <c r="B28" s="10">
        <v>27</v>
      </c>
      <c r="C28" s="12"/>
      <c r="D28" s="12"/>
      <c r="E28" s="12"/>
      <c r="F28" s="12"/>
      <c r="G28" s="12"/>
    </row>
    <row r="29" spans="2:7">
      <c r="B29" s="10">
        <v>28</v>
      </c>
      <c r="C29" s="12"/>
      <c r="D29" s="12"/>
      <c r="E29" s="12"/>
      <c r="F29" s="12"/>
      <c r="G29" s="12"/>
    </row>
    <row r="30" spans="2:7">
      <c r="B30" s="10">
        <v>29</v>
      </c>
      <c r="C30" s="12"/>
      <c r="D30" s="12"/>
      <c r="E30" s="12"/>
      <c r="F30" s="12"/>
      <c r="G30" s="12"/>
    </row>
    <row r="31" spans="2:7">
      <c r="B31" s="10">
        <v>30</v>
      </c>
      <c r="C31" s="12" t="s">
        <v>48</v>
      </c>
      <c r="D31" s="17"/>
      <c r="E31" s="18"/>
      <c r="F31" s="12"/>
      <c r="G31" s="12"/>
    </row>
    <row r="32" spans="2:7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PESQUISAR</vt:lpstr>
      <vt:lpstr>AJUSTE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Desenvolvimento</cp:lastModifiedBy>
  <dcterms:created xsi:type="dcterms:W3CDTF">2014-11-09T13:45:14Z</dcterms:created>
  <dcterms:modified xsi:type="dcterms:W3CDTF">2015-07-10T21:49:26Z</dcterms:modified>
</cp:coreProperties>
</file>